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930" activeTab="4"/>
  </bookViews>
  <sheets>
    <sheet sheetId="1" name="Pending PO" state="visible" r:id="rId4"/>
    <sheet sheetId="2" name="Billed" state="visible" r:id="rId5"/>
    <sheet sheetId="3" name="Report" state="visible" r:id="rId6"/>
    <sheet sheetId="4" name="QUERIED" state="visible" r:id="rId7"/>
    <sheet sheetId="5" name=" REPORTS SUMMARY" state="visible" r:id="rId8"/>
    <sheet sheetId="6" name="Sheet2" state="visible" r:id="rId9"/>
    <sheet sheetId="7" name="Sheet1" state="visible" r:id="rId10"/>
  </sheets>
  <definedNames>
    <definedName name="_xlnm._FilterDatabase">'Pending PO'!$A$2:$H$98</definedName>
    <definedName name="_xlnm.Print_Area" localSheetId="0">'Pending PO'!$A1:$H98</definedName>
  </definedNames>
  <calcPr calcId="171027"/>
</workbook>
</file>

<file path=xl/sharedStrings.xml><?xml version="1.0" encoding="utf-8"?>
<sst xmlns="http://schemas.openxmlformats.org/spreadsheetml/2006/main" count="4313" uniqueCount="883">
  <si>
    <t>STORAGE AND CWR CHARGES PURCHASE ORDER REQUEST</t>
  </si>
  <si>
    <t>S/N</t>
  </si>
  <si>
    <t xml:space="preserve">FILE No. </t>
  </si>
  <si>
    <t>BL NUMBER</t>
  </si>
  <si>
    <t>CONT NO.</t>
  </si>
  <si>
    <t>Details</t>
  </si>
  <si>
    <t xml:space="preserve">PO NO. </t>
  </si>
  <si>
    <t>TOTAL</t>
  </si>
  <si>
    <t>COMMENT</t>
  </si>
  <si>
    <t>CJ-2026-000091</t>
  </si>
  <si>
    <t>KMTCTA08505575</t>
  </si>
  <si>
    <t>1. FFAU3972293</t>
  </si>
  <si>
    <t>Storage Charges</t>
  </si>
  <si>
    <t>VERIFIED-PO-777</t>
  </si>
  <si>
    <t>RECEIVED FINAL BILL OF LADING LATELY FROM CLIENT</t>
  </si>
  <si>
    <t>CJ-2026-000096</t>
  </si>
  <si>
    <t>EMIVCHNQIN038017</t>
  </si>
  <si>
    <t xml:space="preserve">1. ESDU4042937
2. ESDU4075231
3. ESDU4314589
4. ESDU4421020</t>
  </si>
  <si>
    <t>Custom Warehouse Rent</t>
  </si>
  <si>
    <t>Pending</t>
  </si>
  <si>
    <t>DELAY IN TRUCK ALLOCATION</t>
  </si>
  <si>
    <t>CJ-2026-000155</t>
  </si>
  <si>
    <t xml:space="preserve"> QGD2907367</t>
  </si>
  <si>
    <t xml:space="preserve">1. CMAU6801608
2. BMOU4883190
3. CMAU7022496
4. ECMU7399477</t>
  </si>
  <si>
    <t>DOCUMENTS RECEIVED AFTER CONTAINER DISCHARGED 3 DAYS AGO &amp; TRUCK ALLOCATION</t>
  </si>
  <si>
    <t>CJ-2026-000153</t>
  </si>
  <si>
    <t>QGD2891677</t>
  </si>
  <si>
    <t>1. TCLU5062087</t>
  </si>
  <si>
    <t>DOCUMENTS RECEIVED AFTER CONTAINER DISCHARGED 15TH DAYS AGO &amp; TRUCK ALLOCATION</t>
  </si>
  <si>
    <t>CJ-2026-000182</t>
  </si>
  <si>
    <t>RTM1600716</t>
  </si>
  <si>
    <t>1. CGMU7719410</t>
  </si>
  <si>
    <t>DOCUMENTS RECEIVED AFTER CONTAINER DISCHARGED 2 DAYS AGO &amp; CANCELATION OF ASSESSMENT AT NGAMIANA</t>
  </si>
  <si>
    <t>Power and Monitoring</t>
  </si>
  <si>
    <t>CJ-2026-000056</t>
  </si>
  <si>
    <t>1. TCLU5900148</t>
  </si>
  <si>
    <t>Lift On/Off</t>
  </si>
  <si>
    <t>KWALA CHARGES FOR TRANSFER OF THE CONTAINER AND LIFT ON/OFF</t>
  </si>
  <si>
    <t>CJ-2026-000089</t>
  </si>
  <si>
    <t>1. TCKU7945817</t>
  </si>
  <si>
    <t>CJ-2026-000097</t>
  </si>
  <si>
    <t>EMIVCHNGUZ000279</t>
  </si>
  <si>
    <t>1. TIIU7332526</t>
  </si>
  <si>
    <t>CJ-2026-000117</t>
  </si>
  <si>
    <t>GOSUGZH0725227</t>
  </si>
  <si>
    <t>1. JXLU4334454</t>
  </si>
  <si>
    <t>CJ-2026-000100</t>
  </si>
  <si>
    <t>COSU6501268680</t>
  </si>
  <si>
    <t>1. CBHU9183115</t>
  </si>
  <si>
    <t>DOCUMENTS RECEIVED AFTER CONTAINER DISCHARGED 17TH DAY AGO</t>
  </si>
  <si>
    <t>CJ-2026-000143</t>
  </si>
  <si>
    <t>NGNT60537000</t>
  </si>
  <si>
    <t>1. PCIU8884227</t>
  </si>
  <si>
    <t>CJ-2026-000076</t>
  </si>
  <si>
    <t>GOSUNNJ1371509</t>
  </si>
  <si>
    <t xml:space="preserve">1. BSIU8379140
2. JXLU6141135</t>
  </si>
  <si>
    <t>DELAY DUE TO NO DEPOSIT IN SHIPPING LINE(DIAMOND)</t>
  </si>
  <si>
    <t>CJ-2026-000079</t>
  </si>
  <si>
    <t>GOSUGZH0725510</t>
  </si>
  <si>
    <t>1. CAIU9227635</t>
  </si>
  <si>
    <t>CJ-2026-000118</t>
  </si>
  <si>
    <t>HLCUSZX2605DEAS2</t>
  </si>
  <si>
    <t>1. HLXU8137692</t>
  </si>
  <si>
    <t>CJ-2026-000106</t>
  </si>
  <si>
    <t>CSX26TAODAR020393</t>
  </si>
  <si>
    <t>1. CSYU4025865</t>
  </si>
  <si>
    <t>CJ-2026-000150</t>
  </si>
  <si>
    <t>MEDUXW091276</t>
  </si>
  <si>
    <t xml:space="preserve">1. MSMU5567647
2. MSDU8727022</t>
  </si>
  <si>
    <t>2 DAYS - DELAY IN CONTAINER TRANSFER TO PMM, NGAMIANI DEMMURAGE &amp; ORIGINAL BILL FROM CLIENT &amp; TRUCK ARRIVE LATE AT ICD</t>
  </si>
  <si>
    <t>CJ-2026-000151</t>
  </si>
  <si>
    <t>EMIVCHNGUZ000577</t>
  </si>
  <si>
    <t>1. ESDU4125311</t>
  </si>
  <si>
    <t>DELAY IN CONTAINER TRANSFER TO NURAB &amp; TRUCK ALLOCATION</t>
  </si>
  <si>
    <t>CJ-2026-000125</t>
  </si>
  <si>
    <t>EMIVCHNGUZ000505</t>
  </si>
  <si>
    <t>1. TEMU8678108</t>
  </si>
  <si>
    <t>14 DAYS - DELAY IN CONTAINER TRANSFER TO SALISLA &amp; INVOICE &amp; PACKING FROM CLIENT &amp; TRUCK ALLOCATION &amp; TRUCK ARRIVE LATE AT ICD</t>
  </si>
  <si>
    <t>CJ-2026-000093</t>
  </si>
  <si>
    <t>A56GX17036</t>
  </si>
  <si>
    <t>1. CAAU8816670</t>
  </si>
  <si>
    <t>DELAY DUE TO NO DEPOSIT IN SHIPPING LINE(INTERASIA) &amp; TRUCK ALLOCATION &amp; TRUCK ARRIVE LATE AT ICD</t>
  </si>
  <si>
    <t>CJ-2026-000030</t>
  </si>
  <si>
    <t>MEDUWZ478381</t>
  </si>
  <si>
    <t xml:space="preserve">1. MSMU4110506
2. SEKU6812010</t>
  </si>
  <si>
    <t>3 DAYS - DELAY IN CONTAINER TRANSFER TO HECO &amp; TRUCK ALLOCATION &amp; TRUCK ARRIVE LATE AT ICD</t>
  </si>
  <si>
    <t>CJ-2026-000190</t>
  </si>
  <si>
    <t>HLCUSHA2606CAAN5</t>
  </si>
  <si>
    <t>1. HAMU5145716</t>
  </si>
  <si>
    <t>DELAY DUE TO NO DEPOSIT IN SHIPPING LINE(HAPAG) &amp; TRUCK ALLOCATION &amp; TRUCK ARRIVE LATE AT ICD</t>
  </si>
  <si>
    <t>CJ-2026-000102</t>
  </si>
  <si>
    <t>GGZ3025741</t>
  </si>
  <si>
    <t>1. CMAU3992820</t>
  </si>
  <si>
    <t>3 DAYS - DELAY IN CONTAINER TRANSFER TO SALISLA &amp; TRUCK ALLOCATION &amp; TRUCK ARRIVE LATE AT ICD</t>
  </si>
  <si>
    <t>CJ-2026-000144</t>
  </si>
  <si>
    <t>NGNT60539900</t>
  </si>
  <si>
    <t>1. HPCU4825176</t>
  </si>
  <si>
    <t>DELAY IN RECEIVING ORIGINAL BILL FROM CLIENT(HAS NOT SURRENDER THE ORIGINAL DOCUMENTS) &amp; TRUCK ALLOCATION</t>
  </si>
  <si>
    <t>CJ-2026-000128</t>
  </si>
  <si>
    <t>COSU6503374433</t>
  </si>
  <si>
    <t>1. TGBU4845423</t>
  </si>
  <si>
    <t>DELAY IN TRUCK ALLOCATION &amp; TRUCK ARRIVE LATE AT ICD</t>
  </si>
  <si>
    <t>CJ-2026-000090</t>
  </si>
  <si>
    <t>KMTCTAO8517524</t>
  </si>
  <si>
    <t>1. BMOU6348700</t>
  </si>
  <si>
    <t>CJ-2026-000069</t>
  </si>
  <si>
    <t>COSU6501645860</t>
  </si>
  <si>
    <t xml:space="preserve">1. CSGU7178757
2. CSGU7180517</t>
  </si>
  <si>
    <t>DELAY IN PROVE THE INVOICE AND PACKING LIST FROM CLIENT 7TH DAY AFTER CONTAINER DISCHARGED</t>
  </si>
  <si>
    <t>CJ-2026-000256</t>
  </si>
  <si>
    <t>A91GX08613</t>
  </si>
  <si>
    <t xml:space="preserve">1. IAAU1043172
2. IAAU1095690
3. IAAU1142621
4. IAAU1707672
5. IAAU1708690
6. IAAU1716709
7. IAAU1773843
8. IAAU1776652
9. IAAU1778716
10. IAAU1792036
11. IAAU1796221
12. IAAU1853764
13. IAAU1865894
14. IAAU1954501
15. IAAU1976964</t>
  </si>
  <si>
    <t>5 DAYS - DELAY IN CONTAINER TRANSFER &amp; NO DEPOSIT</t>
  </si>
  <si>
    <t>CJ-2026-000170</t>
  </si>
  <si>
    <t>COSU6504015850</t>
  </si>
  <si>
    <t>1. TCLU1889837</t>
  </si>
  <si>
    <t>DELAY IN PROVIDE INVOICE &amp; PACKING LIST &amp; DEMMURAGE</t>
  </si>
  <si>
    <t>CJ-2026-000212</t>
  </si>
  <si>
    <t>EMIVCHNGUZ000757</t>
  </si>
  <si>
    <t>1. ESDU4162640</t>
  </si>
  <si>
    <t>CJ-2026-000214</t>
  </si>
  <si>
    <t>EMIVCHNGUZ000758</t>
  </si>
  <si>
    <t>1. ESDU9225503</t>
  </si>
  <si>
    <t>CJ-2026-000240</t>
  </si>
  <si>
    <t>SHZ8284995</t>
  </si>
  <si>
    <t>1. FFAU4737160</t>
  </si>
  <si>
    <t>DOCUMENTS RECEIVED LATE AFTER CONTAINER DISCHARGED</t>
  </si>
  <si>
    <t>CJ-2026-000195</t>
  </si>
  <si>
    <t>HUUN60184100</t>
  </si>
  <si>
    <t xml:space="preserve">1. CAAU9060397
2. HPCU4415994
3. PCIU9331720</t>
  </si>
  <si>
    <t>9 DAYS - DELAY IN CONTAINER TRANSFER TO KWALA &amp; DEMMURAGE IN SHIPPING LINE(PIL) FROM NGAMIANI &amp; TRUCK ALLOCATION</t>
  </si>
  <si>
    <t>CJ-2026-000196</t>
  </si>
  <si>
    <t>EMKTAODAR26004</t>
  </si>
  <si>
    <t>1. TEMU8804232</t>
  </si>
  <si>
    <t>2 DAYS - DELAY IN CONTAINER TRANSFER</t>
  </si>
  <si>
    <t>CJ-2026-000197</t>
  </si>
  <si>
    <t>CSX26TAODAR026503</t>
  </si>
  <si>
    <t>1. TGCU5314908</t>
  </si>
  <si>
    <t>DELAY IN PROVED THE FINAL BILL OF LADING FROM CLIENT &amp; TRUCK ALLOCATION</t>
  </si>
  <si>
    <t>CJ-2026-000145</t>
  </si>
  <si>
    <t>1. MRSU7619204</t>
  </si>
  <si>
    <t>DOCUMENTS RECEIVED LATE FROM CLIENT &amp; TPIN AT BORDER</t>
  </si>
  <si>
    <t>CJ-2026-000191</t>
  </si>
  <si>
    <t>HUUN60186900</t>
  </si>
  <si>
    <t>1. FFAU6064371</t>
  </si>
  <si>
    <t>DELAY IN CONTAINER TRANSFER TO KWALA &amp; DEMMURAGE IN SHIPPING LINE(PIL) FROM NGAMIANI</t>
  </si>
  <si>
    <t>CJ-2026-000175</t>
  </si>
  <si>
    <t>HLCUEUR260687634</t>
  </si>
  <si>
    <t>1. FFAU8329696</t>
  </si>
  <si>
    <t>DELAY IN CONTAINER TRANSFER TO LUNA &amp; TRUCK ALLOCATION &amp; TRUCK ARRIVE LATE AT ICD</t>
  </si>
  <si>
    <t>CJ-2026-000124</t>
  </si>
  <si>
    <t>1. EMCU8614975</t>
  </si>
  <si>
    <t>4 DAYS -DELAY IN CONTAINER TRANSFER TO ZAMBIA CARGO &amp; AUTHORIZATION LETTER</t>
  </si>
  <si>
    <t>CJ-2026-000213</t>
  </si>
  <si>
    <t>EMIVCHNGUZ000826</t>
  </si>
  <si>
    <t>1. ESDU4251639</t>
  </si>
  <si>
    <t>CJ-2026-000192</t>
  </si>
  <si>
    <t>ASC26TAODAR006577</t>
  </si>
  <si>
    <t xml:space="preserve">1. ASLU7033963
2. ASLU7097973</t>
  </si>
  <si>
    <t>3 DAYS - DELAY IN CONTAINER TRANSFER &amp; ORIGINAL BILL/TELEX RELEASE &amp; TRUCK ALLOCATION</t>
  </si>
  <si>
    <t>CJ-2026-000193</t>
  </si>
  <si>
    <t>A91GX08499</t>
  </si>
  <si>
    <t>1. IAAU1901590</t>
  </si>
  <si>
    <t>CJ-2026-000258</t>
  </si>
  <si>
    <t>NGBCB26029414</t>
  </si>
  <si>
    <t>1. BMOU4820972</t>
  </si>
  <si>
    <t>DOCUMENTS RECEIVED AFTER CONTAINER DISCHARGED 8TH DAYS AGO &amp; AUTHORIZATION LETTER</t>
  </si>
  <si>
    <t>CJ-2026-000158</t>
  </si>
  <si>
    <t>ASC26TAODAR006023</t>
  </si>
  <si>
    <t>1. ASLU7000656</t>
  </si>
  <si>
    <t>DELAY DUE TO NO DEPOSIT IN SHIPPING LINE(CORAL) &amp; TRUCK ALLOCATION &amp; TRUCK ARRIVE LATE AT ICD</t>
  </si>
  <si>
    <t>CJ-2026-000199</t>
  </si>
  <si>
    <t>GOSUQIN6860446</t>
  </si>
  <si>
    <t xml:space="preserve">1. JXJU3294314
2. TGBU2012897
3. TRHU3378082
4. TEMU1049886</t>
  </si>
  <si>
    <t>CJ-2026-000107</t>
  </si>
  <si>
    <t>HUUN60177200</t>
  </si>
  <si>
    <t xml:space="preserve">1. BSIU8009320
2. CAIU8897910
3. PCIU8796240
4. TEMU6580616</t>
  </si>
  <si>
    <t>2 DAYS - DELAY IN CONTAINER TRANSFER TO SALISLA &amp; DEMMURAGE FROM NGAMIAN &amp; TRUCK ALLOCATION</t>
  </si>
  <si>
    <t>CJ-2026-000209</t>
  </si>
  <si>
    <t>RTM1615619</t>
  </si>
  <si>
    <t>1. TLLU1047987</t>
  </si>
  <si>
    <t>CJ-2026-000157</t>
  </si>
  <si>
    <t>HUUN60190500</t>
  </si>
  <si>
    <t>1. PIDU4293189</t>
  </si>
  <si>
    <t>3 DAYS - DELAY IN CONTAINER TRANSFER TO SILVER &amp; SPECIFICATION OF VEHICLE FROM CLIENT &amp; DEMMURAGE IN SHIPPING LINE(PIL) FROM NGAMIANI</t>
  </si>
  <si>
    <t>CJ-2026-000082</t>
  </si>
  <si>
    <t>COSU6503374432</t>
  </si>
  <si>
    <t>1. OOCU6361758</t>
  </si>
  <si>
    <t>8 DAYS - DELAY IN CONTAINER TRANSFER TO KWALA, TRUCK ALLOCATION &amp; TRUCK ARRIVE LATE AT KWALA</t>
  </si>
  <si>
    <t>CJ-2026-000085</t>
  </si>
  <si>
    <t>COSU6502292858</t>
  </si>
  <si>
    <t>1. FCIU9144077</t>
  </si>
  <si>
    <t>DELAY IN CONTAINER TRANSFER TO TRH, TRUCK ALLOCATION &amp; TRUCK ARRIVE LATE AT TRH</t>
  </si>
  <si>
    <t>CJ-2026-000200</t>
  </si>
  <si>
    <t>EMIVCHNQIN039733</t>
  </si>
  <si>
    <t xml:space="preserve">1. ESDU4346499
2. DRYU9662654</t>
  </si>
  <si>
    <t>DOCUMENTS RECEIVED AFTER CONTAINER DISCHARGE 4 DAYS AGO &amp; TRUCK ALLOCATION</t>
  </si>
  <si>
    <t>CJ-2026-000194</t>
  </si>
  <si>
    <t>EMKTAODAR26003</t>
  </si>
  <si>
    <t>1. EMKU9221400</t>
  </si>
  <si>
    <t>4 DAYS - DELAY IN CONTAINER TRANSFER &amp; FINAL BILL FROM CLIENT</t>
  </si>
  <si>
    <t>CJ-2026-000198</t>
  </si>
  <si>
    <t>GOSUGZH0748390</t>
  </si>
  <si>
    <t>1. GCXU5084455</t>
  </si>
  <si>
    <t>2 DAYS - DELAY IN CONTAINER TRANSFER TO SALISLA &amp; TRUCK ALLOCATION</t>
  </si>
  <si>
    <t>CJ-2026-000243</t>
  </si>
  <si>
    <t>1. SUDU6580667</t>
  </si>
  <si>
    <t>DOCUMENTS RECEIVED AFTER CONTAINER DISCHARGED 24TH DAYS FROM CLIENT</t>
  </si>
  <si>
    <t>CJ-2026-000159</t>
  </si>
  <si>
    <t>QGD2889315</t>
  </si>
  <si>
    <t xml:space="preserve">1. CMAU7289944
2. FSCU8383775</t>
  </si>
  <si>
    <t>CJ-2026-000142</t>
  </si>
  <si>
    <t>EMIVCHNGUZ000250</t>
  </si>
  <si>
    <t>1. TIIU7333815</t>
  </si>
  <si>
    <t>DOCUMENTS RECEIVED AFTER CONTAINER DISCHARGED 6 DAYS AGO &amp; TRUCK ALLOCATION</t>
  </si>
  <si>
    <t>CJ-2026-000126</t>
  </si>
  <si>
    <t>EMIVCHNGUZ000520</t>
  </si>
  <si>
    <t>1. TIIU7329013</t>
  </si>
  <si>
    <t>2 DAYS - DELAY IN CONTAINER TRANSFER TO NURAB &amp; TRUCK ALLOCATION</t>
  </si>
  <si>
    <t>CJ-2026-000123</t>
  </si>
  <si>
    <t>1. TEMU6369898</t>
  </si>
  <si>
    <t>4 DAYS - DELAY IN CONTAINER TRANSFER TO ZAMBIA CARGO &amp; AUTHORIZATION LETTER &amp; NO CONTAINER DEPOSIT IN SHIPPING LINE(EVERGREEN)</t>
  </si>
  <si>
    <t>CJ-2026-000104</t>
  </si>
  <si>
    <t>COSU6501268688</t>
  </si>
  <si>
    <t>1. CSNU7026671</t>
  </si>
  <si>
    <t>DELAYS IN TRUCK ALLOCATION</t>
  </si>
  <si>
    <t>CJ-2026-000127</t>
  </si>
  <si>
    <t>COSU6502292083</t>
  </si>
  <si>
    <t>1. CSNU7376216</t>
  </si>
  <si>
    <t>CJ-2026-000105</t>
  </si>
  <si>
    <t>COSU6502292854</t>
  </si>
  <si>
    <t>1. CSNU7688934</t>
  </si>
  <si>
    <t>CJ-2026-000055</t>
  </si>
  <si>
    <t>GOSUQIN6860333</t>
  </si>
  <si>
    <t xml:space="preserve">1. JXJU3286767
2. JXJU3444498
3. MAGU2466250
4. ZIMU3199868</t>
  </si>
  <si>
    <t>CJ-2026-000065</t>
  </si>
  <si>
    <t>HLCUER260425276</t>
  </si>
  <si>
    <t>1. BMOU6673058</t>
  </si>
  <si>
    <t>CJ-2026-000081</t>
  </si>
  <si>
    <t>EMIVCHNGUZ000282</t>
  </si>
  <si>
    <t>1. TCLU8765519</t>
  </si>
  <si>
    <t>CJ-2026-000088</t>
  </si>
  <si>
    <t>1.EITU1119718</t>
  </si>
  <si>
    <t>CJ-2026-000095</t>
  </si>
  <si>
    <t>EMIVCHNQIN038014</t>
  </si>
  <si>
    <t xml:space="preserve">1. CAIU9562720
2. ESDU4036106
3. ESDU4216540</t>
  </si>
  <si>
    <t>CJ-2026-000132</t>
  </si>
  <si>
    <t>147600750692</t>
  </si>
  <si>
    <t>1. MAGU5283320</t>
  </si>
  <si>
    <t>CJ-2026-000147</t>
  </si>
  <si>
    <t>NGB600480500</t>
  </si>
  <si>
    <t>1. PIDU4059632</t>
  </si>
  <si>
    <t>CJ-2026-000148</t>
  </si>
  <si>
    <t>NGB600480600</t>
  </si>
  <si>
    <t>1. BSIU9537390</t>
  </si>
  <si>
    <t>CJ-2026-000116</t>
  </si>
  <si>
    <t>1. EGSU0325954</t>
  </si>
  <si>
    <t>CJ-2026-000186</t>
  </si>
  <si>
    <t>COSU6501031110</t>
  </si>
  <si>
    <t>1. OOLU9242933</t>
  </si>
  <si>
    <t>CJ-2026-000108</t>
  </si>
  <si>
    <t>1. EGSU0328038</t>
  </si>
  <si>
    <t>CJ-2026-000094</t>
  </si>
  <si>
    <t>A56GX17037</t>
  </si>
  <si>
    <t>1. IAAU1090831</t>
  </si>
  <si>
    <t>CJ-2026-000092</t>
  </si>
  <si>
    <t>A56GX17035</t>
  </si>
  <si>
    <t>1. IAAU1133830</t>
  </si>
  <si>
    <t>CJ-2026-000154</t>
  </si>
  <si>
    <t>EMIVCHNQIN038520</t>
  </si>
  <si>
    <t>1. ESDU4111323</t>
  </si>
  <si>
    <t>CJ-2026-000168</t>
  </si>
  <si>
    <t>A91GX06934</t>
  </si>
  <si>
    <t>1. IAAU1031891</t>
  </si>
  <si>
    <t>CJ-2026-000173</t>
  </si>
  <si>
    <t>1. TIIU4617802</t>
  </si>
  <si>
    <t xml:space="preserve"> </t>
  </si>
  <si>
    <t>FileNo</t>
  </si>
  <si>
    <t>BillofLading</t>
  </si>
  <si>
    <t>ContainerNo</t>
  </si>
  <si>
    <t>Status</t>
  </si>
  <si>
    <t>Weight</t>
  </si>
  <si>
    <t>Size</t>
  </si>
  <si>
    <t>Route</t>
  </si>
  <si>
    <t>Invoice No</t>
  </si>
  <si>
    <t>Customer</t>
  </si>
  <si>
    <t>shipper</t>
  </si>
  <si>
    <t>Consignee</t>
  </si>
  <si>
    <t>ShippingLine</t>
  </si>
  <si>
    <t>DESCRIPTION OF GOODS</t>
  </si>
  <si>
    <t>VesselDetails</t>
  </si>
  <si>
    <t>Documents Rec date</t>
  </si>
  <si>
    <t>ETA</t>
  </si>
  <si>
    <t>ETB</t>
  </si>
  <si>
    <t>DischargeDate</t>
  </si>
  <si>
    <t>CarryIn Date</t>
  </si>
  <si>
    <t>DODate</t>
  </si>
  <si>
    <t>AssessmentNotice</t>
  </si>
  <si>
    <t>ReleaseOrderPrintDate</t>
  </si>
  <si>
    <t>PortCharges</t>
  </si>
  <si>
    <t>Allocation request  date</t>
  </si>
  <si>
    <t>allocation date</t>
  </si>
  <si>
    <t>truck cards given date</t>
  </si>
  <si>
    <t>Truck Number</t>
  </si>
  <si>
    <t>T1Date</t>
  </si>
  <si>
    <t>LoadDate</t>
  </si>
  <si>
    <t>LoadPort</t>
  </si>
  <si>
    <t>COMMENTS</t>
  </si>
  <si>
    <t>CJ-2026-000061</t>
  </si>
  <si>
    <t>140601256189</t>
  </si>
  <si>
    <t>TXGU4041032</t>
  </si>
  <si>
    <t>LOADED</t>
  </si>
  <si>
    <t>40FT</t>
  </si>
  <si>
    <t>DES-NDOLA</t>
  </si>
  <si>
    <t>OCSW20260502</t>
  </si>
  <si>
    <t>USANGU ZAMBIA</t>
  </si>
  <si>
    <t>OCSEN INDUSTRIAL COMPANY LIMITED</t>
  </si>
  <si>
    <t>REZK TYRE LIMITED</t>
  </si>
  <si>
    <t>EVERGREEN</t>
  </si>
  <si>
    <t>TYRES AND TUBES</t>
  </si>
  <si>
    <t xml:space="preserve"> EVER VIM</t>
  </si>
  <si>
    <t>D764 - BCC4927ZM/BCC1464ZM</t>
  </si>
  <si>
    <t>LUNA</t>
  </si>
  <si>
    <t>RECEIVED FINAL BILL OF LADING, AUTHORIZATION LETTER LATELY FROM CLIENT &amp; TRUCK ALLOCATION</t>
  </si>
  <si>
    <t>KMTCTAO8505575</t>
  </si>
  <si>
    <t>FFAU3972293</t>
  </si>
  <si>
    <t>OCSW20260512</t>
  </si>
  <si>
    <t>RAIS</t>
  </si>
  <si>
    <t>EVER VIM</t>
  </si>
  <si>
    <t>T361DXB/T187DQA</t>
  </si>
  <si>
    <t>RECEIVED FINAL BILL OF LADING LATELY</t>
  </si>
  <si>
    <t>CJ-2026-000099</t>
  </si>
  <si>
    <t>ONEYNBOGB9496900</t>
  </si>
  <si>
    <t>ONEU3367819</t>
  </si>
  <si>
    <t>20FT</t>
  </si>
  <si>
    <t>YWS26130</t>
  </si>
  <si>
    <t>RSHINE INTERNATIONAL TRADING LIMITED</t>
  </si>
  <si>
    <t>REUBEN THOLE</t>
  </si>
  <si>
    <t>WOSAC</t>
  </si>
  <si>
    <t>WIRE NAILS, SPRAYER, DRAWER RAIL, LAMP COVER</t>
  </si>
  <si>
    <t>ZHONG GU SHAN DONG</t>
  </si>
  <si>
    <t>D1535 - BCG3311ZM/BCG3312ZM</t>
  </si>
  <si>
    <t>GALCO-46</t>
  </si>
  <si>
    <t>TRUCK DELAY TO REACH AT ICD</t>
  </si>
  <si>
    <t>CJ-2026-000134</t>
  </si>
  <si>
    <t>A91GX05700</t>
  </si>
  <si>
    <t>DFSU7504970</t>
  </si>
  <si>
    <t>GuYue20260251</t>
  </si>
  <si>
    <t>JINAN GUYUE AUTO PARTS CO.,LTD</t>
  </si>
  <si>
    <t>USANGU LOGISTICS LIMITED</t>
  </si>
  <si>
    <t>INTERASIA</t>
  </si>
  <si>
    <t>TRUCK SPARE PARTS</t>
  </si>
  <si>
    <t>GANTA BHUM</t>
  </si>
  <si>
    <t>D769 - BCC4932ZM/BCC5783ZM</t>
  </si>
  <si>
    <t>SILVER</t>
  </si>
  <si>
    <t>DOCUMENTS RECEIVED AFTER CONTAINER DISCHARGED 5 DAYS AGO &amp; NO DEPOSIT IN SHIPPING LINE(INTERASIA) &amp; DEMURRAGE AT SHIPPING LINE FROM USANGU</t>
  </si>
  <si>
    <t>ESDU4042937</t>
  </si>
  <si>
    <t>DES-KASUMBALESA</t>
  </si>
  <si>
    <t>BS40D2026000002-3D</t>
  </si>
  <si>
    <t>BAYI RUBBER CO., LTD</t>
  </si>
  <si>
    <t>ETS MUKAJI</t>
  </si>
  <si>
    <t>EMIRATES</t>
  </si>
  <si>
    <t>TYRE &amp; AUTO PARTS</t>
  </si>
  <si>
    <t>INTERASIA MOMENTUM</t>
  </si>
  <si>
    <t>BCC353ZM/BCB9241ZM</t>
  </si>
  <si>
    <t>JEFAG</t>
  </si>
  <si>
    <t>6 DAYS - DELAY IN CONTAINER TRANSFER TO JEFAG &amp; TRUCK ALLOCATION</t>
  </si>
  <si>
    <t>ESDU4075231</t>
  </si>
  <si>
    <t>BCC1460ZM/BCC1463ZM</t>
  </si>
  <si>
    <t>ESDU4314589</t>
  </si>
  <si>
    <t>ADE1041/ADE709T</t>
  </si>
  <si>
    <t>ESDU4421020</t>
  </si>
  <si>
    <t>BCC351ZM/BCC915ZM</t>
  </si>
  <si>
    <t>QGD2907367</t>
  </si>
  <si>
    <t>CMAU6801608</t>
  </si>
  <si>
    <t>DES-KITWE</t>
  </si>
  <si>
    <t>326T8030029-6</t>
  </si>
  <si>
    <t>ALLTRUTH LIMITED</t>
  </si>
  <si>
    <t>TYREPORT LIMITED</t>
  </si>
  <si>
    <t>CMA CGM</t>
  </si>
  <si>
    <t>TYRES</t>
  </si>
  <si>
    <t xml:space="preserve">CMA CGM NINGBO </t>
  </si>
  <si>
    <t>D861 - BCG127ZM/BCG268ZM</t>
  </si>
  <si>
    <t>HECO</t>
  </si>
  <si>
    <t>5 DAYS - DELAY IN CONTAINER TRANSFER TO HECO &amp; DOCUMENTS RECEIVED AFTER CONTAINER DISCHARGED 3 DAYS AGO &amp; TRUCK ALLOCATION</t>
  </si>
  <si>
    <t>CMAU7022496</t>
  </si>
  <si>
    <t>D893 - BCG2446ZM/BCG2447ZM</t>
  </si>
  <si>
    <t>ECMU7399477</t>
  </si>
  <si>
    <t>D741 - BCC1730ZM/BCC1455ZM</t>
  </si>
  <si>
    <t>BMOU4883190</t>
  </si>
  <si>
    <t>D1534 - BCG3321ZM/BCG3322ZM</t>
  </si>
  <si>
    <t xml:space="preserve"> CJ-2026-000153</t>
  </si>
  <si>
    <t>TCLU5062087</t>
  </si>
  <si>
    <t>DES-LUBUMBASHI</t>
  </si>
  <si>
    <t>QINGDAO TIGA TYRE CO.,LTD</t>
  </si>
  <si>
    <t>STE MARCHE MUSOMPO SARL</t>
  </si>
  <si>
    <t>TRUCK TYRE</t>
  </si>
  <si>
    <t>APL FLORIDA</t>
  </si>
  <si>
    <t>D733 - BCB8503ZM/BCB8706ZM</t>
  </si>
  <si>
    <t>KILIMANJARO</t>
  </si>
  <si>
    <t xml:space="preserve"> CJ-2026-000182-REEFER</t>
  </si>
  <si>
    <t>CGMU7719410</t>
  </si>
  <si>
    <t>POELIERSBEDRIJF EP DE GRAAF BV</t>
  </si>
  <si>
    <t>QUICKSAVE LIMITED</t>
  </si>
  <si>
    <t>FROZEN CHICKEN</t>
  </si>
  <si>
    <t>CMA CGM TAORMINA</t>
  </si>
  <si>
    <t>D825 - BCE4030ZM/BCE4887ZM</t>
  </si>
  <si>
    <t>SALISLA</t>
  </si>
  <si>
    <t>TCLU5900148</t>
  </si>
  <si>
    <t>LILY IMPEX</t>
  </si>
  <si>
    <t>STE CONGO TRANS AND SUPPLY SARL</t>
  </si>
  <si>
    <t>MAERSK</t>
  </si>
  <si>
    <t xml:space="preserve">FLEXIBLE INTERMIDIATE BULK CONTAINER </t>
  </si>
  <si>
    <t>MAERSK PELEPAS</t>
  </si>
  <si>
    <t>D737 - BCB8507ZM/BCB8710ZM</t>
  </si>
  <si>
    <t>KWALA</t>
  </si>
  <si>
    <t>15 DAYS - DELAY IN CONTAINER TRANSFER TO ICD &amp; NEW CWP SYSTEM</t>
  </si>
  <si>
    <t>712610398728</t>
  </si>
  <si>
    <t>TCKU7945817</t>
  </si>
  <si>
    <t>DLC2606009</t>
  </si>
  <si>
    <t>HIGHTLIGHT INTERNATION TRADE CO.,LIMITED</t>
  </si>
  <si>
    <t>ETS FERTILITE</t>
  </si>
  <si>
    <t>SHARAF</t>
  </si>
  <si>
    <t>SECONDHAND CLOTHES, SHOES, BAGS</t>
  </si>
  <si>
    <t>D1540 - BCH3057/BCC5867ZM</t>
  </si>
  <si>
    <t>DELAY DUE TO NO DEPOSIT IN SHIPPING LINE(SHARAF) &amp; TRUCK ALLOCATION</t>
  </si>
  <si>
    <t>TIIU7332526</t>
  </si>
  <si>
    <t>ZB20260607</t>
  </si>
  <si>
    <t>LIANNA INTERNATION LIMITED</t>
  </si>
  <si>
    <t>USED CLOTHES, USED SHOES</t>
  </si>
  <si>
    <t>D772 - BCC4935ZM/BCE5906ZM</t>
  </si>
  <si>
    <t>GALCO-25</t>
  </si>
  <si>
    <t>DELAY IN CONTAINER TRANSFER TO GALCO-25 &amp; TRUCK ALLOCATION</t>
  </si>
  <si>
    <t>JXLU4334454</t>
  </si>
  <si>
    <t>GR2606015</t>
  </si>
  <si>
    <t>TAIHE COUNTY MAN SHUN ELECTRONIC COMMERCE LIMITED</t>
  </si>
  <si>
    <t>ETS BOUSSOLE</t>
  </si>
  <si>
    <t>DIAMOND</t>
  </si>
  <si>
    <t>SECOND HAND CLOTHES, SHOES, BAGS</t>
  </si>
  <si>
    <t>D860 - BCG135ZM/BCG166ZM</t>
  </si>
  <si>
    <t>DELAY DUE TO NO DEPOSIT IN SHIPPING LINE(DIAMOND) &amp; TRUCK ALLOCATION</t>
  </si>
  <si>
    <t>CBHU9183115</t>
  </si>
  <si>
    <t>M5-20-2026</t>
  </si>
  <si>
    <t>YIFANG INTERNATIONAL LIMITED</t>
  </si>
  <si>
    <t>ETS AIGLE TRADING</t>
  </si>
  <si>
    <t>COSCO</t>
  </si>
  <si>
    <t>MERATUS JAYAKARTA</t>
  </si>
  <si>
    <t>D770 - BCC4933ZM/BCC5781ZM</t>
  </si>
  <si>
    <t>DOCUMENTS RECEIVED AFTER CONTAINER DISCHARGED 17TH DAY AGO &amp; CWP SYSTEM</t>
  </si>
  <si>
    <t>149603863710</t>
  </si>
  <si>
    <t>EGSU0325954</t>
  </si>
  <si>
    <t>GR2606002</t>
  </si>
  <si>
    <t>BRIGHT</t>
  </si>
  <si>
    <t>D775 - BCC4938ZM/BCD3103ZM</t>
  </si>
  <si>
    <t>HESU</t>
  </si>
  <si>
    <t>DELAY DUE TO NO DEPOSIT IN SHIPPING LINE(EVERGREEN)</t>
  </si>
  <si>
    <t>PCIU8884227</t>
  </si>
  <si>
    <t>QSY260608</t>
  </si>
  <si>
    <t>YIWU BEST JADE IMP. AND EXP CO., LTD</t>
  </si>
  <si>
    <t>PIL</t>
  </si>
  <si>
    <t>SLIPPERS</t>
  </si>
  <si>
    <t>D1530 - BCG3305ZM/BCD3168ZM</t>
  </si>
  <si>
    <t>2 DAYS - DELAY IN CONTAINER TRANSFER TO JEFAG &amp; TRUCK ALLOCATION</t>
  </si>
  <si>
    <t>BSIU8379140</t>
  </si>
  <si>
    <t>2026LESF066</t>
  </si>
  <si>
    <t>JIANGSU BERGE SCIENCE TECHNOLOGY CO., LIMITED</t>
  </si>
  <si>
    <t>ENGINE OIL, HYDRAULIC OIL, GREASE</t>
  </si>
  <si>
    <t>KOTA SEGAR</t>
  </si>
  <si>
    <t>D1541 - BCH3324ZM/BCD448ZM</t>
  </si>
  <si>
    <t>DICD</t>
  </si>
  <si>
    <t>JXLU6141135</t>
  </si>
  <si>
    <t>D1517 - BCG9117ZM/BCB8712ZM</t>
  </si>
  <si>
    <t>CAIU9227635</t>
  </si>
  <si>
    <t>GUANGZHOU WAHKAI TRADING CO.,LTD</t>
  </si>
  <si>
    <t>STUD, GUAR GUM, GLOBE VALVE</t>
  </si>
  <si>
    <t>D756 - BCC349ZM/BCC918ZM</t>
  </si>
  <si>
    <t>PMM</t>
  </si>
  <si>
    <t>2 DAYS - DELAY IN CONTAINER TRANSFER TO PMM &amp;  NO DEPOSIT IN SHIPPING LINE(DIAMOND) &amp; TRUCK ALLOCATION</t>
  </si>
  <si>
    <t>HLXU8137692</t>
  </si>
  <si>
    <t>GR2606007</t>
  </si>
  <si>
    <t>HAPAG LLOYD</t>
  </si>
  <si>
    <t>D837 - BCE4029ZM/BCE5321ZM</t>
  </si>
  <si>
    <t>DELAY DUE TO NO DEPOSIT IN SHIPPING LINE(HAPAG) &amp; TRUCK ALLOCATION</t>
  </si>
  <si>
    <t>CSYU4025865</t>
  </si>
  <si>
    <t>GBY260520</t>
  </si>
  <si>
    <t>SHANDONG PROT HYATT INTERNATIONAL TRADING CO., LTD</t>
  </si>
  <si>
    <t>SIMA</t>
  </si>
  <si>
    <t>GREASE &amp; COOLANT</t>
  </si>
  <si>
    <t>D873 - BCG755ZM/BCG769ZM</t>
  </si>
  <si>
    <t>TRH</t>
  </si>
  <si>
    <t>DELAY DUE TO NO DEPOSIT IN SHIPPING LINE(SIMA) &amp; TRUCK ALLOCATION</t>
  </si>
  <si>
    <t>OOLU9242933</t>
  </si>
  <si>
    <t>BN90168169</t>
  </si>
  <si>
    <t>MAXAM TIRE SOLUTIONS CO., LIMITED</t>
  </si>
  <si>
    <t>AREOPOLIS</t>
  </si>
  <si>
    <t>D828 - BCE4033ZM/BCE5354ZM</t>
  </si>
  <si>
    <t>TAUSI</t>
  </si>
  <si>
    <t>3 DAYS - DELAY IN CONTAINER TRANSFER TO HECO &amp; DOCUMENTS RECEIVED AFTER CONTAINER DISCHARGED 16 DAYS AGO</t>
  </si>
  <si>
    <t xml:space="preserve"> CJ-2026-000150</t>
  </si>
  <si>
    <t>MSDU8727022</t>
  </si>
  <si>
    <t>DES-LUSAKA</t>
  </si>
  <si>
    <t>TAFE MOTORS &amp; TRACTORS LIMITED</t>
  </si>
  <si>
    <t>AGRIWES (Z) LIMITED</t>
  </si>
  <si>
    <t>MSC</t>
  </si>
  <si>
    <t>TRACTORS</t>
  </si>
  <si>
    <t>MSC LILOU III</t>
  </si>
  <si>
    <t>T415EHG/T172DQA</t>
  </si>
  <si>
    <t>MSMU5567647</t>
  </si>
  <si>
    <t>D491 - T261DNQ/T256DNT</t>
  </si>
  <si>
    <t>ESDU4125311</t>
  </si>
  <si>
    <t>YF20260622</t>
  </si>
  <si>
    <t>SECOND HAND CLOTHING GRADE C</t>
  </si>
  <si>
    <t>ESL MOMBASA</t>
  </si>
  <si>
    <t>BCG1333ZM/BCG2492ZM</t>
  </si>
  <si>
    <t>NURAB</t>
  </si>
  <si>
    <t xml:space="preserve"> CJ-2026-000108</t>
  </si>
  <si>
    <t>149603732411</t>
  </si>
  <si>
    <t>EGSU0328038</t>
  </si>
  <si>
    <t>TXC2606011</t>
  </si>
  <si>
    <t>PIONEERING FLOURING RUBBER CO., LTD</t>
  </si>
  <si>
    <t>OIL &amp; TYRES</t>
  </si>
  <si>
    <t>D857 - BCG129ZM/BCG147ZM</t>
  </si>
  <si>
    <t>DELAY DUE TO NO DEPOSIT IN SHIPPING LINE(EVERGREEN) &amp; TRUCK ALLOCATION</t>
  </si>
  <si>
    <t>TEMU8678108</t>
  </si>
  <si>
    <t>YF20260613</t>
  </si>
  <si>
    <t>TEH TAICHUNG</t>
  </si>
  <si>
    <t>D1523 - BCG3013ZM/BCG3014ZM</t>
  </si>
  <si>
    <t>AL-HUSHOOM</t>
  </si>
  <si>
    <t>IAAU1090831</t>
  </si>
  <si>
    <t>202601179B</t>
  </si>
  <si>
    <t>DOUBLE COIN TYRE GROUP (SHANGHAI) IMP&amp;EXP CO., LTD</t>
  </si>
  <si>
    <t>D874 - BCG792ZM/BCG924ZM</t>
  </si>
  <si>
    <t>IAAU1133830</t>
  </si>
  <si>
    <t>202601175B</t>
  </si>
  <si>
    <t>D849 - BCF9787ZM/BCF9792ZM</t>
  </si>
  <si>
    <t>DELAY IN CONTAINER TRANSFER TO SALISLA &amp; TRUCK ALLOCATION &amp; TRUCK ARRIVE LATE AT ICD</t>
  </si>
  <si>
    <t>CAAU8816670</t>
  </si>
  <si>
    <t>202601177B</t>
  </si>
  <si>
    <t>D856 - BCG136ZM/BCG145ZM</t>
  </si>
  <si>
    <t>SEKU6812010</t>
  </si>
  <si>
    <t>BS40D2026000002-3B</t>
  </si>
  <si>
    <t>CHINESE TRUCK TYRE</t>
  </si>
  <si>
    <t>MSC FLORIANA VI</t>
  </si>
  <si>
    <t>D878 - BCG758ZM/BCG933ZM</t>
  </si>
  <si>
    <t>MSMU4110506</t>
  </si>
  <si>
    <t>D768 - BCC4931ZM/BCC5721ZM</t>
  </si>
  <si>
    <t>ESDU4111323</t>
  </si>
  <si>
    <t>QINGDAO POWER LION RUBBER CO.,LTD</t>
  </si>
  <si>
    <t>STE MARCHE MUSOMPO SAR</t>
  </si>
  <si>
    <t>D881 - BCG784ZM/BCG937ZM</t>
  </si>
  <si>
    <t>AFICD</t>
  </si>
  <si>
    <t>DOCUMENTS RECEIVED AFTER CONTAINER DISCHARGED 9TH DAYS AGO, TRUCK ALLOCATION &amp; TRUCK ARRIVE LATE AT ICD</t>
  </si>
  <si>
    <t>HAMU5145716</t>
  </si>
  <si>
    <t>M7-15-2026</t>
  </si>
  <si>
    <t>ZHEJIANG GUOSHENG INDUSTRIAL CO., LIMITED</t>
  </si>
  <si>
    <t>HAPAG</t>
  </si>
  <si>
    <t>USED CLOTHES, USED SHOES, USED BAGS</t>
  </si>
  <si>
    <t>NORDIA</t>
  </si>
  <si>
    <t>CMAU3992820</t>
  </si>
  <si>
    <t>DLC2606019</t>
  </si>
  <si>
    <t>HIGHTLIGHT INTERNATION TRADE CO LTD</t>
  </si>
  <si>
    <t>USED CLOTHES, USED SHOES,USED BAGS</t>
  </si>
  <si>
    <t xml:space="preserve">CMA CGM TAORMINA </t>
  </si>
  <si>
    <t>D862 - BCG134ZM/BCG267ZM</t>
  </si>
  <si>
    <t>IAAU1031891</t>
  </si>
  <si>
    <t>XIANGTENG IMPORT AND EXPORT (QINGDAO) CO., LTD</t>
  </si>
  <si>
    <t>OIL, BUTTER, WINDSHIELD</t>
  </si>
  <si>
    <t>D864 - BCG128ZM/BCG270ZM</t>
  </si>
  <si>
    <t>DOCUMENTS RECEIVED AFTER CONTAINER DISCHARGE 3 DAYS AGO &amp; TRUCK ALLOCATION &amp; TRUCK ARRIVE LATE AT ICD</t>
  </si>
  <si>
    <t>147601074258</t>
  </si>
  <si>
    <t>TIIU4617802</t>
  </si>
  <si>
    <t>YIFANG INTERNATIONAL INDUSTRY LIMITED</t>
  </si>
  <si>
    <t>ACCESSORIES, PVC PIPE, FURNITURE</t>
  </si>
  <si>
    <t xml:space="preserve"> KMTC TIANJIN</t>
  </si>
  <si>
    <t>HPCU4825176</t>
  </si>
  <si>
    <t>QSY260609</t>
  </si>
  <si>
    <t>GSL VALERIE</t>
  </si>
  <si>
    <t>TGBU4845423</t>
  </si>
  <si>
    <t>D738 - BCB8508ZM/BCB8711ZM</t>
  </si>
  <si>
    <t>BMOU6348700</t>
  </si>
  <si>
    <t>OCSW20260521</t>
  </si>
  <si>
    <t>CSGU7178757</t>
  </si>
  <si>
    <t>CSGU7178757/CSGU7180517</t>
  </si>
  <si>
    <t>ZOOM TRADING COMPANY LIMITED</t>
  </si>
  <si>
    <t>GROUTEX COMPANY LIMITED</t>
  </si>
  <si>
    <t>ASSORTED HARDWARE, GENERATORS, SOLAR GEYSERS</t>
  </si>
  <si>
    <t>NATAL</t>
  </si>
  <si>
    <t>D965 - T365DXB/T180EBQ</t>
  </si>
  <si>
    <t>AZAM</t>
  </si>
  <si>
    <t>CSGU7180517</t>
  </si>
  <si>
    <t>D993 - T384DYN/T936APS</t>
  </si>
  <si>
    <t>IAAU1792036</t>
  </si>
  <si>
    <t>36-2026309-01</t>
  </si>
  <si>
    <t>AFRICA POWER PLATFORM II LIMITED</t>
  </si>
  <si>
    <t>MINIERE VERTE SAS</t>
  </si>
  <si>
    <t>PHOTOVOLTAIC MODULE</t>
  </si>
  <si>
    <t>D825 - BCE 4030ZM/BCE 4887ZM</t>
  </si>
  <si>
    <t>IAAU1796221</t>
  </si>
  <si>
    <t>D457 - T576DMM/T646DVH</t>
  </si>
  <si>
    <t>IAAU1776652</t>
  </si>
  <si>
    <t>D1312 - T869EPC/T647ADF</t>
  </si>
  <si>
    <t>IAAU1778716</t>
  </si>
  <si>
    <t>D759 - BCC 348ZM/BCC 920ZM</t>
  </si>
  <si>
    <t>IAAU1976964</t>
  </si>
  <si>
    <t>D1024 - T314EAF/T697DWX</t>
  </si>
  <si>
    <t>IAAU1853764</t>
  </si>
  <si>
    <t>D928 - T851DTP/T422ECR</t>
  </si>
  <si>
    <t>IAAU1142621</t>
  </si>
  <si>
    <t>D1011 - T327EAF/T311EDE</t>
  </si>
  <si>
    <t>IAAU1708690</t>
  </si>
  <si>
    <t>D1317 - T853EPC/T188DQA</t>
  </si>
  <si>
    <t>IAAU1773843</t>
  </si>
  <si>
    <t>D907 - T287DQA/T263DNT</t>
  </si>
  <si>
    <t>IAAU1954501</t>
  </si>
  <si>
    <t>D1147 - T206EFF/T564DLF</t>
  </si>
  <si>
    <t>IAAU1865894</t>
  </si>
  <si>
    <t>D923 - T853DTP/T970DLJ</t>
  </si>
  <si>
    <t>IAAU1716709</t>
  </si>
  <si>
    <t>D961 - T361DXB/T187DQA</t>
  </si>
  <si>
    <t>IAAU1043172</t>
  </si>
  <si>
    <t>D939 - T974DVR/T277CSH</t>
  </si>
  <si>
    <t>IAAU1095690</t>
  </si>
  <si>
    <t>D924 - T847DTP/T553DPP</t>
  </si>
  <si>
    <t>IAAU1707672</t>
  </si>
  <si>
    <t>T867EQC/T755CMC</t>
  </si>
  <si>
    <t>TCLU1889837</t>
  </si>
  <si>
    <t>26XD20616</t>
  </si>
  <si>
    <t>NANYANG XINDA ELECTRO-MECHANICAL CO., LTD</t>
  </si>
  <si>
    <t>MPELABUSHI FARMS LIMITED</t>
  </si>
  <si>
    <t>RIPPER, DISC, TRACTOR</t>
  </si>
  <si>
    <t>TIAN CHANG HE</t>
  </si>
  <si>
    <t>ESDU4162640</t>
  </si>
  <si>
    <t>YF20260705</t>
  </si>
  <si>
    <t>GFS PEARL</t>
  </si>
  <si>
    <t>D757 - BCC350ZM/BCC716ZM</t>
  </si>
  <si>
    <t xml:space="preserve"> CJ-2026-000214</t>
  </si>
  <si>
    <t>ESDU9225503</t>
  </si>
  <si>
    <t>YF20260706</t>
  </si>
  <si>
    <t>D1010 - T326EAF/162EDS</t>
  </si>
  <si>
    <t>FFAU4737160</t>
  </si>
  <si>
    <t>SHZ8398988</t>
  </si>
  <si>
    <t>TRANSSION COMMUNICATION FZE C/O TECNO REALLYTEK LIMITED</t>
  </si>
  <si>
    <t>ETS CONGO MOKO</t>
  </si>
  <si>
    <t>MOBILE PHONE AND ACCESSORIES</t>
  </si>
  <si>
    <t xml:space="preserve">SOL UNITY </t>
  </si>
  <si>
    <t>D1527 - BCG3019ZM/BCG3020ZM</t>
  </si>
  <si>
    <t>PCIU9331720</t>
  </si>
  <si>
    <t>AUG-202608</t>
  </si>
  <si>
    <t>HENAN HONGXING YUANDA TRADING CO., LTD</t>
  </si>
  <si>
    <t>WASHING MACHINE, FLOOR TILE, HEATER</t>
  </si>
  <si>
    <t>KOTA SETIA</t>
  </si>
  <si>
    <t>D855 - BCG137ZM/BCG172ZM</t>
  </si>
  <si>
    <t>CAAU9060397</t>
  </si>
  <si>
    <t>D877 - BCG783ZM/ADD9905T</t>
  </si>
  <si>
    <t>HPCU4415994</t>
  </si>
  <si>
    <t>D846 - BCF9786ZM/BCF9794ZM</t>
  </si>
  <si>
    <t>TEMU8804232</t>
  </si>
  <si>
    <t>JUL-202607</t>
  </si>
  <si>
    <t>GLASS, PLASTERBOARD, CABINET</t>
  </si>
  <si>
    <t>D906 - T286DNQ/T704DWX</t>
  </si>
  <si>
    <t xml:space="preserve">2 DAYS - DELAY IN CONTAINER TRANSFER </t>
  </si>
  <si>
    <t>differ in seal</t>
  </si>
  <si>
    <t>TGCU5314908</t>
  </si>
  <si>
    <t>GBY260710</t>
  </si>
  <si>
    <t>GREASE, TYRES</t>
  </si>
  <si>
    <t>INTERASIA ENHANCE</t>
  </si>
  <si>
    <t>D1502 - BCG1546ZM/BCA6305T</t>
  </si>
  <si>
    <t>MRSU7619204</t>
  </si>
  <si>
    <t>387/ 2026</t>
  </si>
  <si>
    <t>SAAD IMEX CO</t>
  </si>
  <si>
    <t>LAMSAT INTERNATIONAL LIMITED</t>
  </si>
  <si>
    <t>FOODSTUFF</t>
  </si>
  <si>
    <t>T145DZT/T136DZT</t>
  </si>
  <si>
    <t xml:space="preserve">DOCUMENTS RECEIVED LATE FROM CLIENT &amp; TPIN AT BORDER </t>
  </si>
  <si>
    <t>FFAU6064371</t>
  </si>
  <si>
    <t>KITCHEN WARE, ELECTRIC FAN, TABLEWARE</t>
  </si>
  <si>
    <t>D823 - BCE3862ZM/BCE5348ZM</t>
  </si>
  <si>
    <t>FFAU8329696</t>
  </si>
  <si>
    <t>YF20260627</t>
  </si>
  <si>
    <t>SECOND HAND SHOES, BAGS GRADE C</t>
  </si>
  <si>
    <t>D843 - BCF9791ZM/BCF9798ZM</t>
  </si>
  <si>
    <t>149604418175</t>
  </si>
  <si>
    <t>EMCU8614975</t>
  </si>
  <si>
    <t>ASCOBA COMPANY LIMITED</t>
  </si>
  <si>
    <t>LIFESTYLE CENTRE FURNITURE LIMITED</t>
  </si>
  <si>
    <t>FURNITURE</t>
  </si>
  <si>
    <t xml:space="preserve"> EVER BRACE</t>
  </si>
  <si>
    <t>T222EBZ/T903ACB</t>
  </si>
  <si>
    <t>ZAMBIA CARGO</t>
  </si>
  <si>
    <t>ESDU4251639</t>
  </si>
  <si>
    <t>YF20260707</t>
  </si>
  <si>
    <t>SECOND HAND SHOES, BAGS, BEDSHEET GRADE C</t>
  </si>
  <si>
    <t>D835 - BCE4767ZM/BCE5323ZM</t>
  </si>
  <si>
    <t>ASLU7033963</t>
  </si>
  <si>
    <t>CORAL</t>
  </si>
  <si>
    <t>OFFICE FURNITURE</t>
  </si>
  <si>
    <t>D841 - BCF9790ZM/BCF9795ZM</t>
  </si>
  <si>
    <t>ASLU7097973</t>
  </si>
  <si>
    <t>D1526 - BCG3009ZM/BCG3010ZM</t>
  </si>
  <si>
    <t xml:space="preserve"> CJ-2026-000193</t>
  </si>
  <si>
    <t>IAAU1901590</t>
  </si>
  <si>
    <t>KITCHEN WARE, CUPBOARD, ICE LOCKER</t>
  </si>
  <si>
    <t>D1536 - BCG3309ZM/BCG3310ZM</t>
  </si>
  <si>
    <t>BMOU4820972</t>
  </si>
  <si>
    <t>NINGBO DELI IMP. &amp; EXP. CO., LTD</t>
  </si>
  <si>
    <t>SAKO ENERGY ZAMBIA LIMITED</t>
  </si>
  <si>
    <t>AFRICAN</t>
  </si>
  <si>
    <t>LED LIGHT</t>
  </si>
  <si>
    <t>T927DBQ/T207ADM</t>
  </si>
  <si>
    <t>ASLU7000656</t>
  </si>
  <si>
    <t>JUL-202602</t>
  </si>
  <si>
    <t>SAFETY DOOR, TOILET, BATHROOM CABINET</t>
  </si>
  <si>
    <t>KMTC TIANJIN</t>
  </si>
  <si>
    <t>D783 - BCC8917ZM/BCC8923ZM</t>
  </si>
  <si>
    <t>TEMU1049886</t>
  </si>
  <si>
    <t>CG2026006</t>
  </si>
  <si>
    <t>ZHEJIANG ZESHI ZHILIAN TECHNOLOGY CO., LTD</t>
  </si>
  <si>
    <t>HEROCEAN ENTERPRISES DRC SARL</t>
  </si>
  <si>
    <t>COIL</t>
  </si>
  <si>
    <t>D1522 - BCG2490ZM/BCG2491ZM</t>
  </si>
  <si>
    <t xml:space="preserve"> HECO</t>
  </si>
  <si>
    <t>TRHU3378082</t>
  </si>
  <si>
    <t>D830 - BCE3866ZM/BCE5322ZM</t>
  </si>
  <si>
    <t>JXJU3294314</t>
  </si>
  <si>
    <t>D1532 - BCG3307ZMBCG3308ZM</t>
  </si>
  <si>
    <t>TGBU2012897</t>
  </si>
  <si>
    <t>D1524 - BCG3015ZM/BCG3016ZM</t>
  </si>
  <si>
    <t>BSIU8009320</t>
  </si>
  <si>
    <t>JUN-202620</t>
  </si>
  <si>
    <t>LITTLE MERMAID</t>
  </si>
  <si>
    <t>D1520 - BCG9120ZM/BCA8843T</t>
  </si>
  <si>
    <t>CAIU8897910</t>
  </si>
  <si>
    <t>D758 - BCC354ZM/BCC717ZM</t>
  </si>
  <si>
    <t>PCIU8796240</t>
  </si>
  <si>
    <t>T230DMS/T703AFF</t>
  </si>
  <si>
    <t>TEMU6580616</t>
  </si>
  <si>
    <t>T420DKV/T787DSP</t>
  </si>
  <si>
    <t xml:space="preserve"> CJ-2026-000157</t>
  </si>
  <si>
    <t>PIDU4293189</t>
  </si>
  <si>
    <t>PRINTER, TYPING PAPER, OFFICE SUPPLIES</t>
  </si>
  <si>
    <t>CALANDRA</t>
  </si>
  <si>
    <t>LOOSE</t>
  </si>
  <si>
    <t>YF20260606</t>
  </si>
  <si>
    <t>D795 - BCD447ZM/BCH3059ZM/BCH3058ZM</t>
  </si>
  <si>
    <t>FCIU9144077</t>
  </si>
  <si>
    <t>ZB20260526-1</t>
  </si>
  <si>
    <t>ANGELIKI</t>
  </si>
  <si>
    <t>D734 - BCB8511ZM/BCB8707ZM</t>
  </si>
  <si>
    <t xml:space="preserve"> CJ-2026-000200</t>
  </si>
  <si>
    <t>DRYU9662654</t>
  </si>
  <si>
    <t>BS40D2026000002-6C</t>
  </si>
  <si>
    <t>TRUCK TYRE &amp; AUTO PARTS</t>
  </si>
  <si>
    <t>D876 - BCG761ZM/BCG768ZM</t>
  </si>
  <si>
    <t>ESDU4346499</t>
  </si>
  <si>
    <t>D850 - BCG144ZM/BCF9803ZM</t>
  </si>
  <si>
    <t xml:space="preserve"> CJ-2026-000194</t>
  </si>
  <si>
    <t>EMKU9221400</t>
  </si>
  <si>
    <t>PRINTER, TRUCK PARTS, PAPER</t>
  </si>
  <si>
    <t>T627EAD/T188DFW</t>
  </si>
  <si>
    <t xml:space="preserve">4 DAYS - DELAY IN CONTAINER TRANSFER &amp; FINAL BILL FROM CLIENT </t>
  </si>
  <si>
    <t>GCXU5084455</t>
  </si>
  <si>
    <t>GUANGZHOU WAHKAI TRADING CO., LTD</t>
  </si>
  <si>
    <t>ELECTROFUSION, FILTERS, SEPARATOR</t>
  </si>
  <si>
    <t>D848 - BCF9784ZM/BCF9799ZM</t>
  </si>
  <si>
    <t>SUDU6580667</t>
  </si>
  <si>
    <t>EW260630</t>
  </si>
  <si>
    <t>GZ HITOUCH GLOBAL COMPANY LIMITED</t>
  </si>
  <si>
    <t>UPVC FITTINGS &amp; VALVES</t>
  </si>
  <si>
    <t xml:space="preserve"> CJ-2026-000159</t>
  </si>
  <si>
    <t>CMAU7289944</t>
  </si>
  <si>
    <t>2026LESF062</t>
  </si>
  <si>
    <t>TONGZE MARITIME CO.,LTD</t>
  </si>
  <si>
    <t>DRILLING RIG, CORE BARREL</t>
  </si>
  <si>
    <t>D766 - BCC4929ZM/BCC5693ZM</t>
  </si>
  <si>
    <t>FSCU8383775</t>
  </si>
  <si>
    <t>D885 - BCG757ZM/BCG1334ZM</t>
  </si>
  <si>
    <t>TIIU7333815</t>
  </si>
  <si>
    <t>M6-10-2026</t>
  </si>
  <si>
    <t>USED CLOTHES, USED BAGS, USED SHOES</t>
  </si>
  <si>
    <t>D863 - BCG138ZM/BCG266ZM</t>
  </si>
  <si>
    <t>TIIU7329013</t>
  </si>
  <si>
    <t>YF20260614</t>
  </si>
  <si>
    <t>D742 - BCC1456ZM/BCC1457ZM</t>
  </si>
  <si>
    <t>149604418141</t>
  </si>
  <si>
    <t>TEMU6369898</t>
  </si>
  <si>
    <t>D1232 - T415EHG/T172DQA</t>
  </si>
  <si>
    <t>CSNU7026671</t>
  </si>
  <si>
    <t>YF20260522</t>
  </si>
  <si>
    <t>CSNU7376216</t>
  </si>
  <si>
    <t>T575CPF/T715DSM</t>
  </si>
  <si>
    <t>CSNU7688934</t>
  </si>
  <si>
    <t>YF20260525</t>
  </si>
  <si>
    <t>D735 - BCB8505ZM/BC8708ZM</t>
  </si>
  <si>
    <t>1. ONEU3367819</t>
  </si>
  <si>
    <t>1. DFSU7504970</t>
  </si>
  <si>
    <t>FILE</t>
  </si>
  <si>
    <t>CJ-2026-000091-1X40FT- USANGU ZAMBIA</t>
  </si>
  <si>
    <t>CJ-2026-000096-4X40FT- USANGU ZAMBIA</t>
  </si>
  <si>
    <t>CJ-2026-000155-4X40FT- USANGU ZAMBIA</t>
  </si>
  <si>
    <t>BL</t>
  </si>
  <si>
    <t>DOCS RECEIVED DATE</t>
  </si>
  <si>
    <t>DELAYS IN ALLOCATION</t>
  </si>
  <si>
    <t>VERIFIED-TRUCK-X</t>
  </si>
  <si>
    <t>CLEARANCE</t>
  </si>
  <si>
    <t>CLIENT DELAY</t>
  </si>
  <si>
    <t>storage amount</t>
  </si>
  <si>
    <t>CWR</t>
  </si>
  <si>
    <t>TRANSPORT</t>
  </si>
  <si>
    <t xml:space="preserve">CLEARING </t>
  </si>
  <si>
    <t>CLIENT TOTAL</t>
  </si>
  <si>
    <t>CJ-2026-000153-1X40FT- USANGU ZAMBIA</t>
  </si>
  <si>
    <t>CJ-2026-000182-1X40- REEFER QUICKSAVE LIMITED</t>
  </si>
  <si>
    <t>CJ-2026-000056-1X40FT- USANGU ZAMBIA</t>
  </si>
  <si>
    <t>CJ-2026-000089-1X40FT- USANGU ZAMBIA</t>
  </si>
  <si>
    <t>CJ-2026-000097-1X40FT- USANGU ZAMBIA</t>
  </si>
  <si>
    <t>CJ-2026-000117-1X40FT- USANGU ZAMBIA</t>
  </si>
  <si>
    <t>CJ-2026-000100-1X40FT- USANGU ZAMBIA</t>
  </si>
  <si>
    <t>CJ-2026-000143-1X40FT- USANGU ZAMBIA</t>
  </si>
  <si>
    <t>CJ-2026-000076-2X40FT- USANGU ZAMBIA</t>
  </si>
  <si>
    <t>CJ-2026-000079-1X40FT- USANGU ZAMBIA</t>
  </si>
  <si>
    <t>CJ-2026-000118-1X40FT- USANGU ZAMBIA</t>
  </si>
  <si>
    <t>CJ-2026-000106-1X40FT- USANGU ZAMBIA</t>
  </si>
  <si>
    <t>CJ-2026-000150-2X40FT- USANGU ZAMBIA</t>
  </si>
  <si>
    <t>CJ-2026-000151-1X40FT- USANGU ZAMBIA</t>
  </si>
  <si>
    <t>CJ-2026-000125-1X40FT- USANGU ZAMBIA</t>
  </si>
  <si>
    <t>CJ-2026-000093-1X40FT- USANGU ZAMBIA</t>
  </si>
  <si>
    <t>CJ-2026-000030-2X40FT- USANGU ZAMBIA</t>
  </si>
  <si>
    <t>CJ-2026-000190-1X40FT- USANGU ZAMBIA</t>
  </si>
  <si>
    <t>CJ-2026-000102-1X40FT- USANGU ZAMBIA</t>
  </si>
  <si>
    <t>CJ-2026-000144-1X40FT- USANGU ZAMBIA</t>
  </si>
  <si>
    <t>CJ-2026-000128-1X40 ETS MUKAJI</t>
  </si>
  <si>
    <t>D738 - BCB8508ZM/BC8711ZM</t>
  </si>
  <si>
    <t>CJ-2026-000090-1X40 REZK TYRE LIMITED</t>
  </si>
  <si>
    <t>CJ-2026-000069-1X40 GROUTEX COMPANY LIMITED</t>
  </si>
  <si>
    <t>CJ-2026-000256-15X40FT- USANGU ZAMBIA</t>
  </si>
  <si>
    <t>CJ-2026-000127-1X- ETS MUKAJI</t>
  </si>
  <si>
    <t>CJ-2026-000212-1X40FT- USANGU ZAMBIA</t>
  </si>
  <si>
    <t>CJ-2026-000214-1X40FT- USANGU ZAMBIA</t>
  </si>
  <si>
    <t>CJ-2026-000240-1X40FT- USANGU ZAMBIA</t>
  </si>
  <si>
    <t>CJ-2026-000195-3X40FT- USANGU ZAMBIA</t>
  </si>
  <si>
    <t>CJ-2026-000196-1X40FT- USANGU ZAMBIA</t>
  </si>
  <si>
    <t>CJ-2026-000197-1X40FT- USANGU ZAMBIA</t>
  </si>
  <si>
    <t>CJ-2026-000145-1X40FT- USANGU ZAMBIA</t>
  </si>
  <si>
    <t>CJ-2026-000191-1X40FT- USANGU ZAMBIA</t>
  </si>
  <si>
    <t>CJ-2026-000175-1X40FT- USANGU ZAMBIA</t>
  </si>
  <si>
    <t>CJ-2026-000124-1X40FT- USANGU ZAMBIA</t>
  </si>
  <si>
    <t>CJ-2026-000213-1X40FT- USANGU ZAMBIA</t>
  </si>
  <si>
    <t>CJ-2026-000192-2X40FT- USANGU ZAMBIA</t>
  </si>
  <si>
    <t>CJ-2026-000193-1X40FT- USANGU ZAMBIA</t>
  </si>
  <si>
    <t>CJ-2026-000258-1X40FT- USANGU ZAMBIA</t>
  </si>
  <si>
    <t>CJ-2026-000158-1X40FT- USANGU ZAMBIA</t>
  </si>
  <si>
    <t>CJ-2026-000199-4X20FT- USANGU ZAMBIA</t>
  </si>
  <si>
    <t>CJ-2026-000107-4X40FT- USANGU ZAMBIA</t>
  </si>
  <si>
    <t>CJ-2026-000105-1X- ETS MUKAJI</t>
  </si>
  <si>
    <t>CJ-2026-000157-1X40FT- USANGU ZAMBIA</t>
  </si>
  <si>
    <t>CJ-2026-000082-1X- ETS MUKAJI</t>
  </si>
  <si>
    <t>CJ-2026-000085-1X- ETS FERTILITE</t>
  </si>
  <si>
    <t>CJ-2026-000200-2X40FT- USANGU ZAMBIA</t>
  </si>
  <si>
    <t>CJ-2026-000194-1X40FT- USANGU ZAMBIA</t>
  </si>
  <si>
    <t>CJ-2026-000198-1X40FT- USANGU ZAMBIA</t>
  </si>
  <si>
    <t>CJ-2026-000243-1X40FT- USANGU ZAMBIA</t>
  </si>
  <si>
    <t>CJ-2026-000159-2X40FT- USANGU ZAMBIA</t>
  </si>
  <si>
    <t>CJ-2026-000142-1X40FT- USANGU ZAMBIA</t>
  </si>
  <si>
    <t>CJ-2026-000126-1X40FT- USANGU ZAMBIA</t>
  </si>
  <si>
    <t>CJ-2026-000123-1X40FT- USANGU ZAMBIA</t>
  </si>
  <si>
    <t>CJ-2026-000104-1X- ETS MUKAJI</t>
  </si>
  <si>
    <t xml:space="preserve"> CLIENT DELAY</t>
  </si>
  <si>
    <t xml:space="preserve"> storage amount</t>
  </si>
  <si>
    <t xml:space="preserve"> CWR</t>
  </si>
  <si>
    <t>TRANSPORT TOTAL</t>
  </si>
  <si>
    <t>CLEARING TOTAL</t>
  </si>
  <si>
    <t>CJ-2026-000097-1X40 ETS FERTILE</t>
  </si>
  <si>
    <t>CLIENT</t>
  </si>
  <si>
    <t>CJ-2026-000091-1X40- REZK TYRE LIMITED</t>
  </si>
  <si>
    <t>CJ-2026-000096-4X40- ETS MUKAJI</t>
  </si>
  <si>
    <t>ESL</t>
  </si>
  <si>
    <t>BCC353ZM/BCB9241ZM, BCC1460ZM/BCC1463ZM,ADE1041/ADE709T &amp; BCC351ZM/BCC915ZM</t>
  </si>
  <si>
    <t xml:space="preserve"> STORAGE CHARGES</t>
  </si>
  <si>
    <t>CMA</t>
  </si>
  <si>
    <t xml:space="preserve"> D 861,D893,D 741 &amp; D1534</t>
  </si>
  <si>
    <t>DOCUMENTS RECEIVED AFTER CONTAINER DISCHARGED 2 DAYS AGO &amp; CANCELATION OF ASSESSMENT AT NGAMIANI</t>
  </si>
  <si>
    <t>CJ-2026-000 056-1X40- STE CONGO TRANS AND SUPPLY SARL</t>
  </si>
  <si>
    <t>CJ-2026-000153-1X40- STE MARCHE MUSOMPO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</si>
</sst>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#,##0.00;[Red](#,##0.00);-"/>
    <numFmt numFmtId="167" formatCode="&quot;$&quot;#,##0_);[Red](&quot;$&quot;#,##0)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i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6100"/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1" fontId="0" fillId="2" borderId="9" xfId="0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65" fontId="0" fillId="2" borderId="9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165" fontId="0" fillId="2" borderId="10" xfId="0" applyNumberFormat="1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1" fontId="0" fillId="2" borderId="13" xfId="0" applyNumberForma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165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left" vertical="center" wrapText="1"/>
    </xf>
    <xf numFmtId="165" fontId="0" fillId="2" borderId="14" xfId="0" applyNumberFormat="1" applyFill="1" applyBorder="1" applyAlignment="1">
      <alignment vertical="center"/>
    </xf>
    <xf numFmtId="0" fontId="0" fillId="2" borderId="15" xfId="0" applyFill="1" applyBorder="1" applyAlignment="1">
      <alignment horizontal="center"/>
    </xf>
    <xf numFmtId="0" fontId="0" fillId="2" borderId="0" xfId="0" applyFill="1"/>
    <xf numFmtId="0" fontId="0" fillId="2" borderId="16" xfId="0" applyFill="1" applyBorder="1" applyAlignment="1">
      <alignment horizontal="left" vertical="center"/>
    </xf>
    <xf numFmtId="1" fontId="0" fillId="2" borderId="16" xfId="0" applyNumberFormat="1" applyFill="1" applyBorder="1" applyAlignment="1">
      <alignment horizontal="left" vertical="center" wrapText="1"/>
    </xf>
    <xf numFmtId="165" fontId="0" fillId="2" borderId="16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165" fontId="0" fillId="2" borderId="17" xfId="0" applyNumberFormat="1" applyFill="1" applyBorder="1" applyAlignment="1">
      <alignment vertical="center"/>
    </xf>
    <xf numFmtId="0" fontId="0" fillId="2" borderId="18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left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5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1" fontId="0" fillId="0" borderId="16" xfId="0" applyNumberFormat="1" applyBorder="1" applyAlignment="1">
      <alignment horizontal="left" vertical="center" wrapText="1"/>
    </xf>
    <xf numFmtId="165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7" xfId="0" applyNumberForma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0" fillId="0" borderId="20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/>
    </xf>
    <xf numFmtId="165" fontId="2" fillId="0" borderId="23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1" fontId="0" fillId="3" borderId="9" xfId="0" applyNumberForma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165" fontId="0" fillId="3" borderId="9" xfId="0" applyNumberForma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1" fontId="0" fillId="3" borderId="13" xfId="0" applyNumberFormat="1" applyFill="1" applyBorder="1" applyAlignment="1">
      <alignment horizontal="left"/>
    </xf>
    <xf numFmtId="0" fontId="0" fillId="3" borderId="13" xfId="0" applyFill="1" applyBorder="1" applyAlignment="1">
      <alignment horizontal="left" wrapText="1"/>
    </xf>
    <xf numFmtId="165" fontId="0" fillId="3" borderId="13" xfId="0" applyNumberFormat="1" applyFill="1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165" fontId="0" fillId="3" borderId="28" xfId="0" applyNumberFormat="1" applyFill="1" applyBorder="1"/>
    <xf numFmtId="0" fontId="0" fillId="3" borderId="13" xfId="0" applyFill="1" applyBorder="1" applyAlignment="1">
      <alignment horizontal="left" vertical="center"/>
    </xf>
    <xf numFmtId="1" fontId="0" fillId="3" borderId="13" xfId="0" applyNumberForma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 wrapText="1"/>
    </xf>
    <xf numFmtId="165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5" fontId="0" fillId="3" borderId="2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1" fontId="0" fillId="3" borderId="20" xfId="0" applyNumberFormat="1" applyFill="1" applyBorder="1" applyAlignment="1">
      <alignment horizontal="left" vertical="center" wrapText="1"/>
    </xf>
    <xf numFmtId="165" fontId="0" fillId="3" borderId="20" xfId="0" applyNumberFormat="1" applyFill="1" applyBorder="1" applyAlignment="1">
      <alignment horizontal="center" wrapText="1"/>
    </xf>
    <xf numFmtId="0" fontId="0" fillId="3" borderId="20" xfId="0" applyFill="1" applyBorder="1" applyAlignment="1">
      <alignment horizontal="center"/>
    </xf>
    <xf numFmtId="165" fontId="0" fillId="3" borderId="29" xfId="0" applyNumberFormat="1" applyFill="1" applyBorder="1"/>
    <xf numFmtId="165" fontId="2" fillId="0" borderId="23" xfId="0" applyNumberFormat="1" applyFont="1" applyBorder="1"/>
    <xf numFmtId="16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16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1" fontId="7" fillId="5" borderId="13" xfId="0" applyNumberFormat="1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165" fontId="7" fillId="5" borderId="13" xfId="0" applyNumberFormat="1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165" fontId="7" fillId="5" borderId="14" xfId="0" applyNumberFormat="1" applyFont="1" applyFill="1" applyBorder="1" applyAlignment="1">
      <alignment vertical="center"/>
    </xf>
    <xf numFmtId="0" fontId="8" fillId="6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6" fontId="0" fillId="7" borderId="13" xfId="0" applyNumberForma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 wrapText="1"/>
    </xf>
    <xf numFmtId="166" fontId="12" fillId="7" borderId="13" xfId="0" applyNumberFormat="1" applyFont="1" applyFill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/>
    </xf>
    <xf numFmtId="166" fontId="10" fillId="7" borderId="13" xfId="0" applyNumberFormat="1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5" fontId="0" fillId="5" borderId="14" xfId="0" applyNumberFormat="1" applyFill="1" applyBorder="1" applyAlignment="1">
      <alignment vertical="center"/>
    </xf>
    <xf numFmtId="0" fontId="0" fillId="5" borderId="13" xfId="0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12" fillId="7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167" fontId="10" fillId="7" borderId="13" xfId="0" applyNumberFormat="1" applyFont="1" applyFill="1" applyBorder="1" applyAlignment="1">
      <alignment horizontal="center" vertical="center"/>
    </xf>
    <xf numFmtId="167" fontId="9" fillId="7" borderId="13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07"/>
  <sheetViews>
    <sheetView workbookViewId="0" zoomScale="100" zoomScaleNormal="100">
      <pane ySplit="2" topLeftCell="A7" activePane="bottomLeft" state="frozen"/>
      <selection pane="bottomLeft" activeCell="A40" sqref="A40"/>
    </sheetView>
  </sheetViews>
  <sheetFormatPr defaultRowHeight="14.5" outlineLevelRow="0" outlineLevelCol="0" x14ac:dyDescent="0.35" defaultColWidth="8.81640625" customHeight="1"/>
  <cols>
    <col min="1" max="1" width="4.26953125" style="1" customWidth="1"/>
    <col min="2" max="2" width="17.81640625" style="1" customWidth="1"/>
    <col min="3" max="3" width="22.453125" style="1" customWidth="1"/>
    <col min="4" max="4" width="20.453125" style="1" customWidth="1"/>
    <col min="5" max="5" width="25.7265625" style="1" customWidth="1"/>
    <col min="6" max="6" width="14" style="2" customWidth="1"/>
    <col min="7" max="7" width="13.453125" style="1" customWidth="1"/>
    <col min="8" max="8" width="142.7265625" customWidth="1"/>
  </cols>
  <sheetData>
    <row r="1" ht="30.75" customHeight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 x14ac:dyDescent="0.2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2">
        <v>1</v>
      </c>
      <c r="B3" s="13" t="s">
        <v>9</v>
      </c>
      <c r="C3" s="14" t="s">
        <v>10</v>
      </c>
      <c r="D3" s="15" t="s">
        <v>11</v>
      </c>
      <c r="E3" s="16" t="s">
        <v>12</v>
      </c>
      <c r="F3" s="17" t="s">
        <v>13</v>
      </c>
      <c r="G3" s="18">
        <f>150+120</f>
        <v>270</v>
      </c>
      <c r="H3" s="19" t="s">
        <v>14</v>
      </c>
    </row>
    <row r="4" ht="58" customHeight="1" spans="1:8" x14ac:dyDescent="0.25">
      <c r="A4" s="20">
        <v>2</v>
      </c>
      <c r="B4" s="21" t="s">
        <v>15</v>
      </c>
      <c r="C4" s="22" t="s">
        <v>16</v>
      </c>
      <c r="D4" s="23" t="s">
        <v>17</v>
      </c>
      <c r="E4" s="24" t="s">
        <v>18</v>
      </c>
      <c r="F4" s="25" t="s">
        <v>19</v>
      </c>
      <c r="G4" s="26">
        <f>(843616+1917310)/2640</f>
        <v>1045.805303030303</v>
      </c>
      <c r="H4" s="27" t="s">
        <v>20</v>
      </c>
    </row>
    <row r="5" ht="58" customHeight="1" spans="1:8" x14ac:dyDescent="0.25">
      <c r="A5" s="20">
        <v>3</v>
      </c>
      <c r="B5" s="21" t="s">
        <v>21</v>
      </c>
      <c r="C5" s="28" t="s">
        <v>22</v>
      </c>
      <c r="D5" s="28" t="s">
        <v>23</v>
      </c>
      <c r="E5" s="24" t="s">
        <v>12</v>
      </c>
      <c r="F5" s="25" t="s">
        <v>19</v>
      </c>
      <c r="G5" s="29">
        <v>190</v>
      </c>
      <c r="H5" s="27" t="s">
        <v>24</v>
      </c>
    </row>
    <row r="6" spans="1:8" x14ac:dyDescent="0.25">
      <c r="A6" s="20">
        <v>4</v>
      </c>
      <c r="B6" s="21" t="s">
        <v>25</v>
      </c>
      <c r="C6" s="22" t="s">
        <v>26</v>
      </c>
      <c r="D6" s="23" t="s">
        <v>27</v>
      </c>
      <c r="E6" s="24" t="s">
        <v>12</v>
      </c>
      <c r="F6" s="25" t="s">
        <v>19</v>
      </c>
      <c r="G6" s="26">
        <v>365</v>
      </c>
      <c r="H6" s="27" t="s">
        <v>28</v>
      </c>
    </row>
    <row r="7" spans="1:8" x14ac:dyDescent="0.25">
      <c r="A7" s="20">
        <v>5</v>
      </c>
      <c r="B7" s="21" t="s">
        <v>25</v>
      </c>
      <c r="C7" s="22" t="s">
        <v>26</v>
      </c>
      <c r="D7" s="23" t="s">
        <v>27</v>
      </c>
      <c r="E7" s="24" t="s">
        <v>18</v>
      </c>
      <c r="F7" s="25" t="s">
        <v>19</v>
      </c>
      <c r="G7" s="29">
        <f>574560/2600</f>
        <v>220.98461538461538</v>
      </c>
      <c r="H7" s="27" t="s">
        <v>28</v>
      </c>
    </row>
    <row r="8" spans="1:8" x14ac:dyDescent="0.25">
      <c r="A8" s="20">
        <v>6</v>
      </c>
      <c r="B8" s="21" t="s">
        <v>29</v>
      </c>
      <c r="C8" s="28" t="s">
        <v>30</v>
      </c>
      <c r="D8" s="28" t="s">
        <v>31</v>
      </c>
      <c r="E8" s="24" t="s">
        <v>12</v>
      </c>
      <c r="F8" s="25" t="s">
        <v>19</v>
      </c>
      <c r="G8" s="29">
        <f>416+150</f>
        <v>566</v>
      </c>
      <c r="H8" s="27" t="s">
        <v>32</v>
      </c>
    </row>
    <row r="9" spans="1:8" x14ac:dyDescent="0.25">
      <c r="A9" s="20">
        <v>7</v>
      </c>
      <c r="B9" s="21" t="s">
        <v>29</v>
      </c>
      <c r="C9" s="28" t="s">
        <v>30</v>
      </c>
      <c r="D9" s="28" t="s">
        <v>31</v>
      </c>
      <c r="E9" s="24" t="s">
        <v>33</v>
      </c>
      <c r="F9" s="25" t="s">
        <v>19</v>
      </c>
      <c r="G9" s="29">
        <v>500</v>
      </c>
      <c r="H9" s="27" t="s">
        <v>32</v>
      </c>
    </row>
    <row r="10" spans="1:8" x14ac:dyDescent="0.25">
      <c r="A10" s="20">
        <v>8</v>
      </c>
      <c r="B10" s="21" t="s">
        <v>34</v>
      </c>
      <c r="C10" s="28">
        <v>271578337</v>
      </c>
      <c r="D10" s="28" t="s">
        <v>35</v>
      </c>
      <c r="E10" s="24" t="s">
        <v>36</v>
      </c>
      <c r="F10" s="25" t="s">
        <v>19</v>
      </c>
      <c r="G10" s="29">
        <v>220</v>
      </c>
      <c r="H10" s="30" t="s">
        <v>37</v>
      </c>
    </row>
    <row r="11" spans="1:8" x14ac:dyDescent="0.25">
      <c r="A11" s="20">
        <v>9</v>
      </c>
      <c r="B11" s="21" t="s">
        <v>38</v>
      </c>
      <c r="C11" s="28">
        <v>712610398728</v>
      </c>
      <c r="D11" s="28" t="s">
        <v>39</v>
      </c>
      <c r="E11" s="24" t="s">
        <v>12</v>
      </c>
      <c r="F11" s="25" t="s">
        <v>19</v>
      </c>
      <c r="G11" s="29">
        <v>630</v>
      </c>
      <c r="H11" s="27" t="s">
        <v>20</v>
      </c>
    </row>
    <row r="12" spans="1:8" x14ac:dyDescent="0.25">
      <c r="A12" s="20">
        <v>10</v>
      </c>
      <c r="B12" s="21" t="s">
        <v>38</v>
      </c>
      <c r="C12" s="28">
        <v>712610398728</v>
      </c>
      <c r="D12" s="28" t="s">
        <v>39</v>
      </c>
      <c r="E12" s="24" t="s">
        <v>18</v>
      </c>
      <c r="F12" s="25" t="s">
        <v>19</v>
      </c>
      <c r="G12" s="29">
        <f>(98958+705475)/2650</f>
        <v>303.5596226415094</v>
      </c>
      <c r="H12" s="27" t="s">
        <v>20</v>
      </c>
    </row>
    <row r="13" spans="1:8" s="31" customFormat="1" x14ac:dyDescent="0.25">
      <c r="A13" s="20">
        <v>11</v>
      </c>
      <c r="B13" s="21" t="s">
        <v>40</v>
      </c>
      <c r="C13" s="22" t="s">
        <v>41</v>
      </c>
      <c r="D13" s="23" t="s">
        <v>42</v>
      </c>
      <c r="E13" s="24" t="s">
        <v>12</v>
      </c>
      <c r="F13" s="25" t="s">
        <v>19</v>
      </c>
      <c r="G13" s="29">
        <v>955.96</v>
      </c>
      <c r="H13" s="27" t="s">
        <v>20</v>
      </c>
    </row>
    <row r="14" spans="1:8" s="31" customFormat="1" x14ac:dyDescent="0.25">
      <c r="A14" s="20">
        <v>12</v>
      </c>
      <c r="B14" s="21" t="s">
        <v>40</v>
      </c>
      <c r="C14" s="22" t="s">
        <v>41</v>
      </c>
      <c r="D14" s="23" t="s">
        <v>42</v>
      </c>
      <c r="E14" s="24" t="s">
        <v>18</v>
      </c>
      <c r="F14" s="25" t="s">
        <v>19</v>
      </c>
      <c r="G14" s="29">
        <f>(162802+814009)/2650</f>
        <v>368.6079245283019</v>
      </c>
      <c r="H14" s="27" t="s">
        <v>20</v>
      </c>
    </row>
    <row r="15" spans="1:8" s="31" customFormat="1" x14ac:dyDescent="0.25">
      <c r="A15" s="20">
        <v>13</v>
      </c>
      <c r="B15" s="21" t="s">
        <v>43</v>
      </c>
      <c r="C15" s="22" t="s">
        <v>44</v>
      </c>
      <c r="D15" s="23" t="s">
        <v>45</v>
      </c>
      <c r="E15" s="24" t="s">
        <v>18</v>
      </c>
      <c r="F15" s="25" t="s">
        <v>19</v>
      </c>
      <c r="G15" s="29">
        <f>(414985+130082)/2650</f>
        <v>205.6856603773585</v>
      </c>
      <c r="H15" s="30" t="s">
        <v>20</v>
      </c>
    </row>
    <row r="16" spans="1:8" s="31" customFormat="1" x14ac:dyDescent="0.25">
      <c r="A16" s="20">
        <v>14</v>
      </c>
      <c r="B16" s="21" t="s">
        <v>46</v>
      </c>
      <c r="C16" s="22" t="s">
        <v>47</v>
      </c>
      <c r="D16" s="23" t="s">
        <v>48</v>
      </c>
      <c r="E16" s="24" t="s">
        <v>18</v>
      </c>
      <c r="F16" s="25" t="s">
        <v>19</v>
      </c>
      <c r="G16" s="29">
        <f>1721821/2650</f>
        <v>649.7437735849056</v>
      </c>
      <c r="H16" s="27" t="s">
        <v>49</v>
      </c>
    </row>
    <row r="17" spans="1:8" s="31" customFormat="1" x14ac:dyDescent="0.25">
      <c r="A17" s="20">
        <v>15</v>
      </c>
      <c r="B17" s="21" t="s">
        <v>50</v>
      </c>
      <c r="C17" s="28" t="s">
        <v>51</v>
      </c>
      <c r="D17" s="28" t="s">
        <v>52</v>
      </c>
      <c r="E17" s="24" t="s">
        <v>18</v>
      </c>
      <c r="F17" s="25" t="s">
        <v>19</v>
      </c>
      <c r="G17" s="29">
        <f>433572/2650</f>
        <v>163.61207547169812</v>
      </c>
      <c r="H17" s="27" t="s">
        <v>20</v>
      </c>
    </row>
    <row r="18" ht="29" customHeight="1" spans="1:8" s="31" customFormat="1" x14ac:dyDescent="0.25">
      <c r="A18" s="20">
        <v>16</v>
      </c>
      <c r="B18" s="21" t="s">
        <v>53</v>
      </c>
      <c r="C18" s="28" t="s">
        <v>54</v>
      </c>
      <c r="D18" s="28" t="s">
        <v>55</v>
      </c>
      <c r="E18" s="24" t="s">
        <v>12</v>
      </c>
      <c r="F18" s="25" t="s">
        <v>19</v>
      </c>
      <c r="G18" s="29">
        <v>540</v>
      </c>
      <c r="H18" s="27" t="s">
        <v>56</v>
      </c>
    </row>
    <row r="19" ht="29" customHeight="1" spans="1:8" s="31" customFormat="1" x14ac:dyDescent="0.25">
      <c r="A19" s="20">
        <v>17</v>
      </c>
      <c r="B19" s="21" t="s">
        <v>53</v>
      </c>
      <c r="C19" s="28" t="s">
        <v>54</v>
      </c>
      <c r="D19" s="28" t="s">
        <v>55</v>
      </c>
      <c r="E19" s="24" t="s">
        <v>18</v>
      </c>
      <c r="F19" s="25" t="s">
        <v>19</v>
      </c>
      <c r="G19" s="29">
        <f>(57436+937678+669675)/2650</f>
        <v>628.2222641509434</v>
      </c>
      <c r="H19" s="27" t="s">
        <v>56</v>
      </c>
    </row>
    <row r="20" spans="1:8" s="31" customFormat="1" x14ac:dyDescent="0.25">
      <c r="A20" s="20">
        <v>18</v>
      </c>
      <c r="B20" s="21" t="s">
        <v>57</v>
      </c>
      <c r="C20" s="22" t="s">
        <v>58</v>
      </c>
      <c r="D20" s="23" t="s">
        <v>59</v>
      </c>
      <c r="E20" s="24" t="s">
        <v>18</v>
      </c>
      <c r="F20" s="25" t="s">
        <v>19</v>
      </c>
      <c r="G20" s="29">
        <f>(350317+166399)/2650</f>
        <v>194.98716981132077</v>
      </c>
      <c r="H20" s="30" t="s">
        <v>20</v>
      </c>
    </row>
    <row r="21" spans="1:8" s="31" customFormat="1" x14ac:dyDescent="0.25">
      <c r="A21" s="20">
        <v>19</v>
      </c>
      <c r="B21" s="21" t="s">
        <v>60</v>
      </c>
      <c r="C21" s="22" t="s">
        <v>61</v>
      </c>
      <c r="D21" s="23" t="s">
        <v>62</v>
      </c>
      <c r="E21" s="24" t="s">
        <v>18</v>
      </c>
      <c r="F21" s="25" t="s">
        <v>19</v>
      </c>
      <c r="G21" s="29">
        <f>(39053+362639)/2650</f>
        <v>151.58188679245282</v>
      </c>
      <c r="H21" s="30" t="s">
        <v>20</v>
      </c>
    </row>
    <row r="22" spans="1:8" s="31" customFormat="1" x14ac:dyDescent="0.25">
      <c r="A22" s="20">
        <v>20</v>
      </c>
      <c r="B22" s="32" t="s">
        <v>63</v>
      </c>
      <c r="C22" s="33" t="s">
        <v>64</v>
      </c>
      <c r="D22" s="33" t="s">
        <v>65</v>
      </c>
      <c r="E22" s="34" t="s">
        <v>18</v>
      </c>
      <c r="F22" s="35" t="s">
        <v>19</v>
      </c>
      <c r="G22" s="36">
        <f>402217/2650</f>
        <v>151.78</v>
      </c>
      <c r="H22" s="37" t="s">
        <v>20</v>
      </c>
    </row>
    <row r="23" ht="29" customHeight="1" spans="1:8" s="31" customFormat="1" x14ac:dyDescent="0.25">
      <c r="A23" s="20">
        <v>21</v>
      </c>
      <c r="B23" s="21" t="s">
        <v>66</v>
      </c>
      <c r="C23" s="28" t="s">
        <v>67</v>
      </c>
      <c r="D23" s="28" t="s">
        <v>68</v>
      </c>
      <c r="E23" s="24" t="s">
        <v>12</v>
      </c>
      <c r="F23" s="25" t="s">
        <v>19</v>
      </c>
      <c r="G23" s="29">
        <f>160+800+300+240</f>
        <v>1500</v>
      </c>
      <c r="H23" s="30" t="s">
        <v>69</v>
      </c>
    </row>
    <row r="24" ht="29" customHeight="1" spans="1:8" s="31" customFormat="1" x14ac:dyDescent="0.25">
      <c r="A24" s="20">
        <v>22</v>
      </c>
      <c r="B24" s="21" t="s">
        <v>66</v>
      </c>
      <c r="C24" s="28" t="s">
        <v>67</v>
      </c>
      <c r="D24" s="28" t="s">
        <v>68</v>
      </c>
      <c r="E24" s="24" t="s">
        <v>18</v>
      </c>
      <c r="F24" s="25" t="s">
        <v>19</v>
      </c>
      <c r="G24" s="29">
        <f>(172102+70419)/2650</f>
        <v>91.51735849056604</v>
      </c>
      <c r="H24" s="30" t="s">
        <v>69</v>
      </c>
    </row>
    <row r="25" spans="1:8" s="31" customFormat="1" x14ac:dyDescent="0.25">
      <c r="A25" s="20">
        <v>23</v>
      </c>
      <c r="B25" s="21" t="s">
        <v>70</v>
      </c>
      <c r="C25" s="28" t="s">
        <v>71</v>
      </c>
      <c r="D25" s="28" t="s">
        <v>72</v>
      </c>
      <c r="E25" s="24" t="s">
        <v>18</v>
      </c>
      <c r="F25" s="25" t="s">
        <v>19</v>
      </c>
      <c r="G25" s="29">
        <f>379466/2650</f>
        <v>143.19471698113207</v>
      </c>
      <c r="H25" s="30" t="s">
        <v>73</v>
      </c>
    </row>
    <row r="26" spans="1:8" s="31" customFormat="1" x14ac:dyDescent="0.25">
      <c r="A26" s="20">
        <v>24</v>
      </c>
      <c r="B26" s="21" t="s">
        <v>74</v>
      </c>
      <c r="C26" s="28" t="s">
        <v>75</v>
      </c>
      <c r="D26" s="28" t="s">
        <v>76</v>
      </c>
      <c r="E26" s="24" t="s">
        <v>18</v>
      </c>
      <c r="F26" s="25" t="s">
        <v>19</v>
      </c>
      <c r="G26" s="29">
        <f>803589/2650</f>
        <v>303.2411320754717</v>
      </c>
      <c r="H26" s="30" t="s">
        <v>77</v>
      </c>
    </row>
    <row r="27" spans="1:8" s="31" customFormat="1" x14ac:dyDescent="0.25">
      <c r="A27" s="20">
        <v>25</v>
      </c>
      <c r="B27" s="21" t="s">
        <v>78</v>
      </c>
      <c r="C27" s="28" t="s">
        <v>79</v>
      </c>
      <c r="D27" s="28" t="s">
        <v>80</v>
      </c>
      <c r="E27" s="24" t="s">
        <v>12</v>
      </c>
      <c r="F27" s="25" t="s">
        <v>19</v>
      </c>
      <c r="G27" s="29">
        <v>460.2</v>
      </c>
      <c r="H27" s="30" t="s">
        <v>81</v>
      </c>
    </row>
    <row r="28" spans="1:8" s="31" customFormat="1" x14ac:dyDescent="0.25">
      <c r="A28" s="20">
        <v>26</v>
      </c>
      <c r="B28" s="21" t="s">
        <v>78</v>
      </c>
      <c r="C28" s="28" t="s">
        <v>79</v>
      </c>
      <c r="D28" s="28" t="s">
        <v>80</v>
      </c>
      <c r="E28" s="24" t="s">
        <v>18</v>
      </c>
      <c r="F28" s="25" t="s">
        <v>19</v>
      </c>
      <c r="G28" s="29">
        <f>688791/2650</f>
        <v>259.9211320754717</v>
      </c>
      <c r="H28" s="30" t="s">
        <v>81</v>
      </c>
    </row>
    <row r="29" ht="29" customHeight="1" spans="1:8" s="31" customFormat="1" x14ac:dyDescent="0.25">
      <c r="A29" s="20">
        <v>27</v>
      </c>
      <c r="B29" s="21" t="s">
        <v>82</v>
      </c>
      <c r="C29" s="28" t="s">
        <v>83</v>
      </c>
      <c r="D29" s="28" t="s">
        <v>84</v>
      </c>
      <c r="E29" s="24" t="s">
        <v>12</v>
      </c>
      <c r="F29" s="25" t="s">
        <v>19</v>
      </c>
      <c r="G29" s="29">
        <v>94.4</v>
      </c>
      <c r="H29" s="30" t="s">
        <v>85</v>
      </c>
    </row>
    <row r="30" ht="29" customHeight="1" spans="1:8" s="31" customFormat="1" x14ac:dyDescent="0.25">
      <c r="A30" s="20">
        <v>28</v>
      </c>
      <c r="B30" s="21" t="s">
        <v>82</v>
      </c>
      <c r="C30" s="28" t="s">
        <v>83</v>
      </c>
      <c r="D30" s="28" t="s">
        <v>84</v>
      </c>
      <c r="E30" s="24" t="s">
        <v>18</v>
      </c>
      <c r="F30" s="25" t="s">
        <v>19</v>
      </c>
      <c r="G30" s="29">
        <f>1664567/2650</f>
        <v>628.1384905660377</v>
      </c>
      <c r="H30" s="30" t="s">
        <v>85</v>
      </c>
    </row>
    <row r="31" spans="1:8" s="31" customFormat="1" x14ac:dyDescent="0.25">
      <c r="A31" s="20">
        <v>29</v>
      </c>
      <c r="B31" s="21" t="s">
        <v>86</v>
      </c>
      <c r="C31" s="28" t="s">
        <v>87</v>
      </c>
      <c r="D31" s="28" t="s">
        <v>88</v>
      </c>
      <c r="E31" s="24" t="s">
        <v>18</v>
      </c>
      <c r="F31" s="25" t="s">
        <v>19</v>
      </c>
      <c r="G31" s="29">
        <f>286500/2650</f>
        <v>108.11320754716981</v>
      </c>
      <c r="H31" s="30" t="s">
        <v>89</v>
      </c>
    </row>
    <row r="32" spans="1:8" s="31" customFormat="1" x14ac:dyDescent="0.25">
      <c r="A32" s="20">
        <v>30</v>
      </c>
      <c r="B32" s="21" t="s">
        <v>90</v>
      </c>
      <c r="C32" s="28" t="s">
        <v>91</v>
      </c>
      <c r="D32" s="28" t="s">
        <v>92</v>
      </c>
      <c r="E32" s="24" t="s">
        <v>12</v>
      </c>
      <c r="F32" s="25" t="s">
        <v>19</v>
      </c>
      <c r="G32" s="29">
        <f>94.4+649</f>
        <v>743.4</v>
      </c>
      <c r="H32" s="30" t="s">
        <v>93</v>
      </c>
    </row>
    <row r="33" spans="1:8" s="31" customFormat="1" x14ac:dyDescent="0.25">
      <c r="A33" s="20">
        <v>31</v>
      </c>
      <c r="B33" s="21" t="s">
        <v>90</v>
      </c>
      <c r="C33" s="28" t="s">
        <v>91</v>
      </c>
      <c r="D33" s="28" t="s">
        <v>92</v>
      </c>
      <c r="E33" s="24" t="s">
        <v>18</v>
      </c>
      <c r="F33" s="25" t="s">
        <v>19</v>
      </c>
      <c r="G33" s="29">
        <f>(572386+29431+831196)/2650</f>
        <v>540.7596226415094</v>
      </c>
      <c r="H33" s="30" t="s">
        <v>93</v>
      </c>
    </row>
    <row r="34" spans="1:8" s="31" customFormat="1" x14ac:dyDescent="0.25">
      <c r="A34" s="20">
        <v>32</v>
      </c>
      <c r="B34" s="21" t="s">
        <v>94</v>
      </c>
      <c r="C34" s="28" t="s">
        <v>95</v>
      </c>
      <c r="D34" s="28" t="s">
        <v>96</v>
      </c>
      <c r="E34" s="24" t="s">
        <v>12</v>
      </c>
      <c r="F34" s="25" t="s">
        <v>19</v>
      </c>
      <c r="G34" s="29">
        <v>1026.6</v>
      </c>
      <c r="H34" s="30" t="s">
        <v>97</v>
      </c>
    </row>
    <row r="35" spans="1:8" s="31" customFormat="1" x14ac:dyDescent="0.25">
      <c r="A35" s="20">
        <v>33</v>
      </c>
      <c r="B35" s="21" t="s">
        <v>94</v>
      </c>
      <c r="C35" s="28" t="s">
        <v>95</v>
      </c>
      <c r="D35" s="28" t="s">
        <v>96</v>
      </c>
      <c r="E35" s="24" t="s">
        <v>18</v>
      </c>
      <c r="F35" s="25" t="s">
        <v>19</v>
      </c>
      <c r="G35" s="29">
        <f>1030841/2650</f>
        <v>388.9966037735849</v>
      </c>
      <c r="H35" s="30" t="s">
        <v>97</v>
      </c>
    </row>
    <row r="36" spans="1:8" s="31" customFormat="1" x14ac:dyDescent="0.25">
      <c r="A36" s="20">
        <v>34</v>
      </c>
      <c r="B36" s="21" t="s">
        <v>98</v>
      </c>
      <c r="C36" s="28" t="s">
        <v>99</v>
      </c>
      <c r="D36" s="28" t="s">
        <v>100</v>
      </c>
      <c r="E36" s="24" t="s">
        <v>12</v>
      </c>
      <c r="F36" s="25" t="s">
        <v>19</v>
      </c>
      <c r="G36" s="29">
        <f>150+27+480+86.4</f>
        <v>743.4</v>
      </c>
      <c r="H36" s="30" t="s">
        <v>101</v>
      </c>
    </row>
    <row r="37" spans="1:8" s="31" customFormat="1" x14ac:dyDescent="0.25">
      <c r="A37" s="20">
        <v>35</v>
      </c>
      <c r="B37" s="32" t="s">
        <v>98</v>
      </c>
      <c r="C37" s="33" t="s">
        <v>99</v>
      </c>
      <c r="D37" s="33" t="s">
        <v>100</v>
      </c>
      <c r="E37" s="34" t="s">
        <v>18</v>
      </c>
      <c r="F37" s="35" t="s">
        <v>19</v>
      </c>
      <c r="G37" s="36">
        <f>(57379+758671+159384)/2650</f>
        <v>368.08830188679246</v>
      </c>
      <c r="H37" s="30" t="s">
        <v>101</v>
      </c>
    </row>
    <row r="38" spans="1:8" s="31" customFormat="1" x14ac:dyDescent="0.25">
      <c r="A38" s="20">
        <v>36</v>
      </c>
      <c r="B38" s="21" t="s">
        <v>102</v>
      </c>
      <c r="C38" s="28" t="s">
        <v>103</v>
      </c>
      <c r="D38" s="28" t="s">
        <v>104</v>
      </c>
      <c r="E38" s="24" t="s">
        <v>12</v>
      </c>
      <c r="F38" s="25" t="s">
        <v>19</v>
      </c>
      <c r="G38" s="29">
        <f>(405000+756000+432000)/2700</f>
        <v>590</v>
      </c>
      <c r="H38" s="30" t="s">
        <v>14</v>
      </c>
    </row>
    <row r="39" spans="1:8" s="31" customFormat="1" x14ac:dyDescent="0.25">
      <c r="A39" s="20">
        <v>37</v>
      </c>
      <c r="B39" s="21" t="s">
        <v>102</v>
      </c>
      <c r="C39" s="28" t="s">
        <v>103</v>
      </c>
      <c r="D39" s="28" t="s">
        <v>104</v>
      </c>
      <c r="E39" s="24" t="s">
        <v>18</v>
      </c>
      <c r="F39" s="25" t="s">
        <v>19</v>
      </c>
      <c r="G39" s="29">
        <f>57460/2650</f>
        <v>21.683018867924527</v>
      </c>
      <c r="H39" s="30" t="s">
        <v>14</v>
      </c>
    </row>
    <row r="40" ht="29" customHeight="1" spans="1:8" s="31" customFormat="1" x14ac:dyDescent="0.25">
      <c r="A40" s="20">
        <v>38</v>
      </c>
      <c r="B40" s="21" t="s">
        <v>105</v>
      </c>
      <c r="C40" s="28" t="s">
        <v>106</v>
      </c>
      <c r="D40" s="28" t="s">
        <v>107</v>
      </c>
      <c r="E40" s="24" t="s">
        <v>12</v>
      </c>
      <c r="F40" s="25" t="s">
        <v>19</v>
      </c>
      <c r="G40" s="29">
        <v>380</v>
      </c>
      <c r="H40" s="30" t="s">
        <v>108</v>
      </c>
    </row>
    <row r="41" ht="217.5" customHeight="1" spans="1:8" x14ac:dyDescent="0.25">
      <c r="A41" s="38">
        <v>39</v>
      </c>
      <c r="B41" s="39" t="s">
        <v>109</v>
      </c>
      <c r="C41" s="40" t="s">
        <v>110</v>
      </c>
      <c r="D41" s="40" t="s">
        <v>111</v>
      </c>
      <c r="E41" s="41" t="s">
        <v>18</v>
      </c>
      <c r="F41" s="42" t="s">
        <v>19</v>
      </c>
      <c r="G41" s="43">
        <f>(360545)/2650</f>
        <v>136.0547169811321</v>
      </c>
      <c r="H41" s="44" t="s">
        <v>112</v>
      </c>
    </row>
    <row r="42" spans="1:8" x14ac:dyDescent="0.25">
      <c r="A42" s="38">
        <v>40</v>
      </c>
      <c r="B42" s="39" t="s">
        <v>113</v>
      </c>
      <c r="C42" s="40" t="s">
        <v>114</v>
      </c>
      <c r="D42" s="40" t="s">
        <v>115</v>
      </c>
      <c r="E42" s="41" t="s">
        <v>12</v>
      </c>
      <c r="F42" s="42" t="s">
        <v>19</v>
      </c>
      <c r="G42" s="43">
        <f>150+80</f>
        <v>230</v>
      </c>
      <c r="H42" s="45" t="s">
        <v>116</v>
      </c>
    </row>
    <row r="43" spans="1:8" x14ac:dyDescent="0.25">
      <c r="A43" s="38">
        <v>41</v>
      </c>
      <c r="B43" s="39" t="s">
        <v>117</v>
      </c>
      <c r="C43" s="40" t="s">
        <v>118</v>
      </c>
      <c r="D43" s="40" t="s">
        <v>119</v>
      </c>
      <c r="E43" s="41" t="s">
        <v>12</v>
      </c>
      <c r="F43" s="42" t="s">
        <v>19</v>
      </c>
      <c r="G43" s="43">
        <f>283.2+177</f>
        <v>460.2</v>
      </c>
      <c r="H43" s="45" t="s">
        <v>20</v>
      </c>
    </row>
    <row r="44" spans="1:8" x14ac:dyDescent="0.25">
      <c r="A44" s="38">
        <v>42</v>
      </c>
      <c r="B44" s="39" t="s">
        <v>117</v>
      </c>
      <c r="C44" s="40" t="s">
        <v>118</v>
      </c>
      <c r="D44" s="40" t="s">
        <v>119</v>
      </c>
      <c r="E44" s="41" t="s">
        <v>18</v>
      </c>
      <c r="F44" s="42" t="s">
        <v>19</v>
      </c>
      <c r="G44" s="43">
        <f>(595666+145997)/2650</f>
        <v>279.87283018867925</v>
      </c>
      <c r="H44" s="45" t="s">
        <v>20</v>
      </c>
    </row>
    <row r="45" spans="1:8" x14ac:dyDescent="0.25">
      <c r="A45" s="38">
        <v>43</v>
      </c>
      <c r="B45" s="39" t="s">
        <v>120</v>
      </c>
      <c r="C45" s="40" t="s">
        <v>121</v>
      </c>
      <c r="D45" s="40" t="s">
        <v>122</v>
      </c>
      <c r="E45" s="41" t="s">
        <v>12</v>
      </c>
      <c r="F45" s="42" t="s">
        <v>19</v>
      </c>
      <c r="G45" s="43">
        <f>283.2+177</f>
        <v>460.2</v>
      </c>
      <c r="H45" s="45" t="s">
        <v>20</v>
      </c>
    </row>
    <row r="46" spans="1:8" x14ac:dyDescent="0.25">
      <c r="A46" s="38">
        <v>44</v>
      </c>
      <c r="B46" s="39" t="s">
        <v>120</v>
      </c>
      <c r="C46" s="40" t="s">
        <v>121</v>
      </c>
      <c r="D46" s="40" t="s">
        <v>122</v>
      </c>
      <c r="E46" s="41" t="s">
        <v>18</v>
      </c>
      <c r="F46" s="42" t="s">
        <v>19</v>
      </c>
      <c r="G46" s="43">
        <f>(595666+145997)/2650</f>
        <v>279.87283018867925</v>
      </c>
      <c r="H46" s="45" t="s">
        <v>20</v>
      </c>
    </row>
    <row r="47" spans="1:8" x14ac:dyDescent="0.25">
      <c r="A47" s="38">
        <v>45</v>
      </c>
      <c r="B47" s="39" t="s">
        <v>123</v>
      </c>
      <c r="C47" s="40" t="s">
        <v>124</v>
      </c>
      <c r="D47" s="40" t="s">
        <v>125</v>
      </c>
      <c r="E47" s="41" t="s">
        <v>18</v>
      </c>
      <c r="F47" s="42" t="s">
        <v>19</v>
      </c>
      <c r="G47" s="43">
        <f>229392/2650</f>
        <v>86.56301886792453</v>
      </c>
      <c r="H47" s="45" t="s">
        <v>126</v>
      </c>
    </row>
    <row r="48" ht="43.5" customHeight="1" spans="1:8" x14ac:dyDescent="0.25">
      <c r="A48" s="38">
        <v>46</v>
      </c>
      <c r="B48" s="39" t="s">
        <v>127</v>
      </c>
      <c r="C48" s="40" t="s">
        <v>128</v>
      </c>
      <c r="D48" s="40" t="s">
        <v>129</v>
      </c>
      <c r="E48" s="41" t="s">
        <v>18</v>
      </c>
      <c r="F48" s="42" t="s">
        <v>19</v>
      </c>
      <c r="G48" s="43">
        <f>(172044+172044+2236134)/2650</f>
        <v>973.668679245283</v>
      </c>
      <c r="H48" s="44" t="s">
        <v>130</v>
      </c>
    </row>
    <row r="49" spans="1:8" x14ac:dyDescent="0.25">
      <c r="A49" s="38">
        <v>47</v>
      </c>
      <c r="B49" s="39" t="s">
        <v>131</v>
      </c>
      <c r="C49" s="40" t="s">
        <v>132</v>
      </c>
      <c r="D49" s="40" t="s">
        <v>133</v>
      </c>
      <c r="E49" s="41" t="s">
        <v>18</v>
      </c>
      <c r="F49" s="42" t="s">
        <v>19</v>
      </c>
      <c r="G49" s="43">
        <f>(362327+96356)/2650</f>
        <v>173.0879245283019</v>
      </c>
      <c r="H49" s="45" t="s">
        <v>134</v>
      </c>
    </row>
    <row r="50" spans="1:8" x14ac:dyDescent="0.25">
      <c r="A50" s="38">
        <v>48</v>
      </c>
      <c r="B50" s="39" t="s">
        <v>135</v>
      </c>
      <c r="C50" s="40" t="s">
        <v>136</v>
      </c>
      <c r="D50" s="40" t="s">
        <v>137</v>
      </c>
      <c r="E50" s="41" t="s">
        <v>12</v>
      </c>
      <c r="F50" s="42" t="s">
        <v>19</v>
      </c>
      <c r="G50" s="43">
        <f>150+40</f>
        <v>190</v>
      </c>
      <c r="H50" s="45" t="s">
        <v>138</v>
      </c>
    </row>
    <row r="51" spans="1:8" x14ac:dyDescent="0.25">
      <c r="A51" s="38">
        <v>49</v>
      </c>
      <c r="B51" s="39" t="s">
        <v>135</v>
      </c>
      <c r="C51" s="40" t="s">
        <v>136</v>
      </c>
      <c r="D51" s="40" t="s">
        <v>137</v>
      </c>
      <c r="E51" s="41" t="s">
        <v>18</v>
      </c>
      <c r="F51" s="42" t="s">
        <v>19</v>
      </c>
      <c r="G51" s="43">
        <f>(202527+371792)/2650</f>
        <v>216.72415094339624</v>
      </c>
      <c r="H51" s="45" t="s">
        <v>138</v>
      </c>
    </row>
    <row r="52" spans="1:8" x14ac:dyDescent="0.25">
      <c r="A52" s="38">
        <v>50</v>
      </c>
      <c r="B52" s="39" t="s">
        <v>139</v>
      </c>
      <c r="C52" s="40">
        <v>272272022</v>
      </c>
      <c r="D52" s="40" t="s">
        <v>140</v>
      </c>
      <c r="E52" s="41" t="s">
        <v>12</v>
      </c>
      <c r="F52" s="42" t="s">
        <v>19</v>
      </c>
      <c r="G52" s="43">
        <f>160+400+80+150</f>
        <v>790</v>
      </c>
      <c r="H52" s="45" t="s">
        <v>141</v>
      </c>
    </row>
    <row r="53" spans="1:8" x14ac:dyDescent="0.25">
      <c r="A53" s="38">
        <v>51</v>
      </c>
      <c r="B53" s="39" t="s">
        <v>139</v>
      </c>
      <c r="C53" s="40">
        <v>272272022</v>
      </c>
      <c r="D53" s="40" t="s">
        <v>140</v>
      </c>
      <c r="E53" s="41" t="s">
        <v>18</v>
      </c>
      <c r="F53" s="42" t="s">
        <v>19</v>
      </c>
      <c r="G53" s="43">
        <f>(287160)/2650</f>
        <v>108.3622641509434</v>
      </c>
      <c r="H53" s="45" t="s">
        <v>141</v>
      </c>
    </row>
    <row r="54" spans="1:8" x14ac:dyDescent="0.25">
      <c r="A54" s="38">
        <v>52</v>
      </c>
      <c r="B54" s="39" t="s">
        <v>142</v>
      </c>
      <c r="C54" s="40" t="s">
        <v>143</v>
      </c>
      <c r="D54" s="40" t="s">
        <v>144</v>
      </c>
      <c r="E54" s="41" t="s">
        <v>18</v>
      </c>
      <c r="F54" s="42" t="s">
        <v>19</v>
      </c>
      <c r="G54" s="43">
        <f>745378/2650</f>
        <v>281.2747169811321</v>
      </c>
      <c r="H54" s="45" t="s">
        <v>145</v>
      </c>
    </row>
    <row r="55" spans="1:8" x14ac:dyDescent="0.25">
      <c r="A55" s="38">
        <v>53</v>
      </c>
      <c r="B55" s="39" t="s">
        <v>146</v>
      </c>
      <c r="C55" s="40" t="s">
        <v>147</v>
      </c>
      <c r="D55" s="40" t="s">
        <v>148</v>
      </c>
      <c r="E55" s="41" t="s">
        <v>12</v>
      </c>
      <c r="F55" s="42" t="s">
        <v>19</v>
      </c>
      <c r="G55" s="43">
        <f>150+1280</f>
        <v>1430</v>
      </c>
      <c r="H55" s="45" t="s">
        <v>149</v>
      </c>
    </row>
    <row r="56" spans="1:8" x14ac:dyDescent="0.25">
      <c r="A56" s="38">
        <v>54</v>
      </c>
      <c r="B56" s="39" t="s">
        <v>146</v>
      </c>
      <c r="C56" s="40" t="s">
        <v>147</v>
      </c>
      <c r="D56" s="40" t="s">
        <v>148</v>
      </c>
      <c r="E56" s="41" t="s">
        <v>18</v>
      </c>
      <c r="F56" s="42" t="s">
        <v>19</v>
      </c>
      <c r="G56" s="43">
        <f>(1245600+57000)/2650</f>
        <v>491.54716981132077</v>
      </c>
      <c r="H56" s="45" t="s">
        <v>149</v>
      </c>
    </row>
    <row r="57" spans="1:8" x14ac:dyDescent="0.25">
      <c r="A57" s="38">
        <v>55</v>
      </c>
      <c r="B57" s="39" t="s">
        <v>150</v>
      </c>
      <c r="C57" s="40">
        <v>149604418175</v>
      </c>
      <c r="D57" s="40" t="s">
        <v>151</v>
      </c>
      <c r="E57" s="41" t="s">
        <v>12</v>
      </c>
      <c r="F57" s="42" t="s">
        <v>19</v>
      </c>
      <c r="G57" s="43">
        <f>240+150</f>
        <v>390</v>
      </c>
      <c r="H57" s="45" t="s">
        <v>152</v>
      </c>
    </row>
    <row r="58" spans="1:8" x14ac:dyDescent="0.25">
      <c r="A58" s="38">
        <v>56</v>
      </c>
      <c r="B58" s="39" t="s">
        <v>150</v>
      </c>
      <c r="C58" s="40">
        <v>149604418175</v>
      </c>
      <c r="D58" s="40" t="s">
        <v>151</v>
      </c>
      <c r="E58" s="41" t="s">
        <v>18</v>
      </c>
      <c r="F58" s="42" t="s">
        <v>19</v>
      </c>
      <c r="G58" s="43">
        <f>207090/2650</f>
        <v>78.14716981132075</v>
      </c>
      <c r="H58" s="45" t="s">
        <v>152</v>
      </c>
    </row>
    <row r="59" spans="1:8" x14ac:dyDescent="0.25">
      <c r="A59" s="38">
        <v>57</v>
      </c>
      <c r="B59" s="39" t="s">
        <v>153</v>
      </c>
      <c r="C59" s="40" t="s">
        <v>154</v>
      </c>
      <c r="D59" s="40" t="s">
        <v>155</v>
      </c>
      <c r="E59" s="41" t="s">
        <v>12</v>
      </c>
      <c r="F59" s="42" t="s">
        <v>19</v>
      </c>
      <c r="G59" s="43">
        <f>283.2+177</f>
        <v>460.2</v>
      </c>
      <c r="H59" s="45" t="s">
        <v>20</v>
      </c>
    </row>
    <row r="60" spans="1:8" x14ac:dyDescent="0.25">
      <c r="A60" s="38">
        <v>58</v>
      </c>
      <c r="B60" s="39" t="s">
        <v>153</v>
      </c>
      <c r="C60" s="40" t="s">
        <v>154</v>
      </c>
      <c r="D60" s="40" t="s">
        <v>155</v>
      </c>
      <c r="E60" s="41" t="s">
        <v>18</v>
      </c>
      <c r="F60" s="42" t="s">
        <v>19</v>
      </c>
      <c r="G60" s="43">
        <f>(595666+145997)/2650</f>
        <v>279.87283018867925</v>
      </c>
      <c r="H60" s="45" t="s">
        <v>20</v>
      </c>
    </row>
    <row r="61" ht="29" customHeight="1" spans="1:8" x14ac:dyDescent="0.25">
      <c r="A61" s="38">
        <v>59</v>
      </c>
      <c r="B61" s="39" t="s">
        <v>156</v>
      </c>
      <c r="C61" s="40" t="s">
        <v>157</v>
      </c>
      <c r="D61" s="40" t="s">
        <v>158</v>
      </c>
      <c r="E61" s="41" t="s">
        <v>18</v>
      </c>
      <c r="F61" s="42" t="s">
        <v>19</v>
      </c>
      <c r="G61" s="43">
        <f>917389/2650</f>
        <v>346.1845283018868</v>
      </c>
      <c r="H61" s="44" t="s">
        <v>159</v>
      </c>
    </row>
    <row r="62" spans="1:8" x14ac:dyDescent="0.25">
      <c r="A62" s="38">
        <v>60</v>
      </c>
      <c r="B62" s="39" t="s">
        <v>160</v>
      </c>
      <c r="C62" s="40" t="s">
        <v>161</v>
      </c>
      <c r="D62" s="40" t="s">
        <v>162</v>
      </c>
      <c r="E62" s="41" t="s">
        <v>18</v>
      </c>
      <c r="F62" s="42" t="s">
        <v>19</v>
      </c>
      <c r="G62" s="43">
        <f>362337/2650</f>
        <v>136.73094339622642</v>
      </c>
      <c r="H62" s="45" t="s">
        <v>138</v>
      </c>
    </row>
    <row r="63" spans="1:8" x14ac:dyDescent="0.25">
      <c r="A63" s="38">
        <v>61</v>
      </c>
      <c r="B63" s="39" t="s">
        <v>163</v>
      </c>
      <c r="C63" s="40" t="s">
        <v>164</v>
      </c>
      <c r="D63" s="40" t="s">
        <v>165</v>
      </c>
      <c r="E63" s="41" t="s">
        <v>12</v>
      </c>
      <c r="F63" s="42" t="s">
        <v>19</v>
      </c>
      <c r="G63" s="43">
        <f>560+150+240</f>
        <v>950</v>
      </c>
      <c r="H63" s="45" t="s">
        <v>166</v>
      </c>
    </row>
    <row r="64" spans="1:8" x14ac:dyDescent="0.25">
      <c r="A64" s="38">
        <v>62</v>
      </c>
      <c r="B64" s="39" t="s">
        <v>163</v>
      </c>
      <c r="C64" s="40" t="s">
        <v>164</v>
      </c>
      <c r="D64" s="40" t="s">
        <v>165</v>
      </c>
      <c r="E64" s="41" t="s">
        <v>18</v>
      </c>
      <c r="F64" s="42" t="s">
        <v>19</v>
      </c>
      <c r="G64" s="43">
        <f>304793/2650</f>
        <v>115.01622641509434</v>
      </c>
      <c r="H64" s="45" t="s">
        <v>166</v>
      </c>
    </row>
    <row r="65" spans="1:8" x14ac:dyDescent="0.25">
      <c r="A65" s="38">
        <v>63</v>
      </c>
      <c r="B65" s="39" t="s">
        <v>167</v>
      </c>
      <c r="C65" s="40" t="s">
        <v>168</v>
      </c>
      <c r="D65" s="40" t="s">
        <v>169</v>
      </c>
      <c r="E65" s="41" t="s">
        <v>12</v>
      </c>
      <c r="F65" s="42" t="s">
        <v>19</v>
      </c>
      <c r="G65" s="43">
        <f>1320+237.6+150+27</f>
        <v>1734.6</v>
      </c>
      <c r="H65" s="45" t="s">
        <v>170</v>
      </c>
    </row>
    <row r="66" spans="1:8" x14ac:dyDescent="0.25">
      <c r="A66" s="38">
        <v>64</v>
      </c>
      <c r="B66" s="39" t="s">
        <v>167</v>
      </c>
      <c r="C66" s="40" t="s">
        <v>168</v>
      </c>
      <c r="D66" s="40" t="s">
        <v>169</v>
      </c>
      <c r="E66" s="41" t="s">
        <v>18</v>
      </c>
      <c r="F66" s="42" t="s">
        <v>19</v>
      </c>
      <c r="G66" s="43">
        <f>1720104/2650</f>
        <v>649.0958490566038</v>
      </c>
      <c r="H66" s="45" t="s">
        <v>170</v>
      </c>
    </row>
    <row r="67" ht="58" customHeight="1" spans="1:8" x14ac:dyDescent="0.25">
      <c r="A67" s="38">
        <v>65</v>
      </c>
      <c r="B67" s="39" t="s">
        <v>171</v>
      </c>
      <c r="C67" s="40" t="s">
        <v>172</v>
      </c>
      <c r="D67" s="40" t="s">
        <v>173</v>
      </c>
      <c r="E67" s="41" t="s">
        <v>12</v>
      </c>
      <c r="F67" s="42" t="s">
        <v>19</v>
      </c>
      <c r="G67" s="43">
        <f>424.8</f>
        <v>424.8</v>
      </c>
      <c r="H67" s="44" t="s">
        <v>85</v>
      </c>
    </row>
    <row r="68" ht="58" customHeight="1" spans="1:8" x14ac:dyDescent="0.25">
      <c r="A68" s="38">
        <v>66</v>
      </c>
      <c r="B68" s="39" t="s">
        <v>171</v>
      </c>
      <c r="C68" s="40" t="s">
        <v>172</v>
      </c>
      <c r="D68" s="40" t="s">
        <v>173</v>
      </c>
      <c r="E68" s="41" t="s">
        <v>18</v>
      </c>
      <c r="F68" s="42" t="s">
        <v>19</v>
      </c>
      <c r="G68" s="43">
        <f>(57343+244073+114671)/2650</f>
        <v>157.01396226415093</v>
      </c>
      <c r="H68" s="44" t="s">
        <v>85</v>
      </c>
    </row>
    <row r="69" ht="58" customHeight="1" spans="1:8" x14ac:dyDescent="0.25">
      <c r="A69" s="38">
        <v>67</v>
      </c>
      <c r="B69" s="39" t="s">
        <v>174</v>
      </c>
      <c r="C69" s="40" t="s">
        <v>175</v>
      </c>
      <c r="D69" s="40" t="s">
        <v>176</v>
      </c>
      <c r="E69" s="41" t="s">
        <v>12</v>
      </c>
      <c r="F69" s="42" t="s">
        <v>19</v>
      </c>
      <c r="G69" s="43">
        <f>94.4+5239.2</f>
        <v>5333.599999999999</v>
      </c>
      <c r="H69" s="44" t="s">
        <v>177</v>
      </c>
    </row>
    <row r="70" ht="58" customHeight="1" spans="1:8" x14ac:dyDescent="0.25">
      <c r="A70" s="38">
        <v>68</v>
      </c>
      <c r="B70" s="39" t="s">
        <v>174</v>
      </c>
      <c r="C70" s="40" t="s">
        <v>175</v>
      </c>
      <c r="D70" s="40" t="s">
        <v>176</v>
      </c>
      <c r="E70" s="41" t="s">
        <v>18</v>
      </c>
      <c r="F70" s="42" t="s">
        <v>19</v>
      </c>
      <c r="G70" s="43">
        <f>(57264+4126638)/2650</f>
        <v>1578.8309433962263</v>
      </c>
      <c r="H70" s="44" t="s">
        <v>177</v>
      </c>
    </row>
    <row r="71" spans="1:8" x14ac:dyDescent="0.25">
      <c r="A71" s="38">
        <v>69</v>
      </c>
      <c r="B71" s="39" t="s">
        <v>178</v>
      </c>
      <c r="C71" s="40" t="s">
        <v>179</v>
      </c>
      <c r="D71" s="40" t="s">
        <v>180</v>
      </c>
      <c r="E71" s="41" t="s">
        <v>33</v>
      </c>
      <c r="F71" s="42" t="s">
        <v>19</v>
      </c>
      <c r="G71" s="43">
        <v>500</v>
      </c>
      <c r="H71" s="45"/>
    </row>
    <row r="72" spans="1:8" x14ac:dyDescent="0.25">
      <c r="A72" s="38">
        <v>70</v>
      </c>
      <c r="B72" s="39" t="s">
        <v>181</v>
      </c>
      <c r="C72" s="40" t="s">
        <v>182</v>
      </c>
      <c r="D72" s="40" t="s">
        <v>183</v>
      </c>
      <c r="E72" s="41" t="s">
        <v>12</v>
      </c>
      <c r="F72" s="42" t="s">
        <v>19</v>
      </c>
      <c r="G72" s="43">
        <f>80+150+40</f>
        <v>270</v>
      </c>
      <c r="H72" s="45" t="s">
        <v>184</v>
      </c>
    </row>
    <row r="73" spans="1:8" x14ac:dyDescent="0.25">
      <c r="A73" s="38">
        <v>71</v>
      </c>
      <c r="B73" s="39" t="s">
        <v>181</v>
      </c>
      <c r="C73" s="40" t="s">
        <v>182</v>
      </c>
      <c r="D73" s="40" t="s">
        <v>183</v>
      </c>
      <c r="E73" s="41" t="s">
        <v>18</v>
      </c>
      <c r="F73" s="42" t="s">
        <v>19</v>
      </c>
      <c r="G73" s="43">
        <f>(672260+57264+129679)/2650</f>
        <v>324.2275471698113</v>
      </c>
      <c r="H73" s="45" t="s">
        <v>184</v>
      </c>
    </row>
    <row r="74" spans="1:8" x14ac:dyDescent="0.25">
      <c r="A74" s="38">
        <v>72</v>
      </c>
      <c r="B74" s="39" t="s">
        <v>185</v>
      </c>
      <c r="C74" s="40" t="s">
        <v>186</v>
      </c>
      <c r="D74" s="40" t="s">
        <v>187</v>
      </c>
      <c r="E74" s="41" t="s">
        <v>12</v>
      </c>
      <c r="F74" s="42" t="s">
        <v>19</v>
      </c>
      <c r="G74" s="43">
        <v>240.93</v>
      </c>
      <c r="H74" s="45" t="s">
        <v>188</v>
      </c>
    </row>
    <row r="75" spans="1:8" x14ac:dyDescent="0.25">
      <c r="A75" s="38">
        <v>73</v>
      </c>
      <c r="B75" s="39" t="s">
        <v>185</v>
      </c>
      <c r="C75" s="40" t="s">
        <v>186</v>
      </c>
      <c r="D75" s="40" t="s">
        <v>187</v>
      </c>
      <c r="E75" s="41" t="s">
        <v>18</v>
      </c>
      <c r="F75" s="42" t="s">
        <v>19</v>
      </c>
      <c r="G75" s="43">
        <f>1775170/2650</f>
        <v>669.8754716981132</v>
      </c>
      <c r="H75" s="45" t="s">
        <v>188</v>
      </c>
    </row>
    <row r="76" spans="1:8" x14ac:dyDescent="0.25">
      <c r="A76" s="38">
        <v>74</v>
      </c>
      <c r="B76" s="39" t="s">
        <v>189</v>
      </c>
      <c r="C76" s="40" t="s">
        <v>190</v>
      </c>
      <c r="D76" s="40" t="s">
        <v>191</v>
      </c>
      <c r="E76" s="41" t="s">
        <v>12</v>
      </c>
      <c r="F76" s="42" t="s">
        <v>19</v>
      </c>
      <c r="G76" s="43">
        <v>1899.96</v>
      </c>
      <c r="H76" s="45" t="s">
        <v>192</v>
      </c>
    </row>
    <row r="77" spans="1:8" x14ac:dyDescent="0.25">
      <c r="A77" s="38">
        <v>75</v>
      </c>
      <c r="B77" s="39" t="s">
        <v>189</v>
      </c>
      <c r="C77" s="40" t="s">
        <v>190</v>
      </c>
      <c r="D77" s="40" t="s">
        <v>191</v>
      </c>
      <c r="E77" s="41" t="s">
        <v>18</v>
      </c>
      <c r="F77" s="42" t="s">
        <v>19</v>
      </c>
      <c r="G77" s="43">
        <v>583.49</v>
      </c>
      <c r="H77" s="45" t="s">
        <v>192</v>
      </c>
    </row>
    <row r="78" ht="29" customHeight="1" spans="1:8" x14ac:dyDescent="0.25">
      <c r="A78" s="38">
        <v>76</v>
      </c>
      <c r="B78" s="39" t="s">
        <v>193</v>
      </c>
      <c r="C78" s="40" t="s">
        <v>194</v>
      </c>
      <c r="D78" s="40" t="s">
        <v>195</v>
      </c>
      <c r="E78" s="41" t="s">
        <v>12</v>
      </c>
      <c r="F78" s="42" t="s">
        <v>19</v>
      </c>
      <c r="G78" s="43">
        <f>(2880+300)+((2880+300)*0.18)</f>
        <v>3752.4</v>
      </c>
      <c r="H78" s="44" t="s">
        <v>196</v>
      </c>
    </row>
    <row r="79" ht="29" customHeight="1" spans="1:8" x14ac:dyDescent="0.25">
      <c r="A79" s="38">
        <v>77</v>
      </c>
      <c r="B79" s="39" t="s">
        <v>193</v>
      </c>
      <c r="C79" s="40" t="s">
        <v>194</v>
      </c>
      <c r="D79" s="40" t="s">
        <v>195</v>
      </c>
      <c r="E79" s="41" t="s">
        <v>18</v>
      </c>
      <c r="F79" s="42" t="s">
        <v>19</v>
      </c>
      <c r="G79" s="43">
        <f>(2293471+802715)/2650</f>
        <v>1168.372075471698</v>
      </c>
      <c r="H79" s="44" t="s">
        <v>196</v>
      </c>
    </row>
    <row r="80" spans="1:8" x14ac:dyDescent="0.25">
      <c r="A80" s="38">
        <v>78</v>
      </c>
      <c r="B80" s="39" t="s">
        <v>197</v>
      </c>
      <c r="C80" s="40" t="s">
        <v>198</v>
      </c>
      <c r="D80" s="40" t="s">
        <v>199</v>
      </c>
      <c r="E80" s="41" t="s">
        <v>18</v>
      </c>
      <c r="F80" s="42" t="s">
        <v>19</v>
      </c>
      <c r="G80" s="43">
        <f>(124227+334456)/2650</f>
        <v>173.0879245283019</v>
      </c>
      <c r="H80" s="45" t="s">
        <v>200</v>
      </c>
    </row>
    <row r="81" spans="1:8" x14ac:dyDescent="0.25">
      <c r="A81" s="38">
        <v>79</v>
      </c>
      <c r="B81" s="39" t="s">
        <v>201</v>
      </c>
      <c r="C81" s="40" t="s">
        <v>202</v>
      </c>
      <c r="D81" s="40" t="s">
        <v>203</v>
      </c>
      <c r="E81" s="41" t="s">
        <v>12</v>
      </c>
      <c r="F81" s="42" t="s">
        <v>19</v>
      </c>
      <c r="G81" s="43">
        <v>519.2</v>
      </c>
      <c r="H81" s="45" t="s">
        <v>204</v>
      </c>
    </row>
    <row r="82" spans="1:8" x14ac:dyDescent="0.25">
      <c r="A82" s="38">
        <v>80</v>
      </c>
      <c r="B82" s="46" t="s">
        <v>201</v>
      </c>
      <c r="C82" s="47" t="s">
        <v>202</v>
      </c>
      <c r="D82" s="47" t="s">
        <v>203</v>
      </c>
      <c r="E82" s="48" t="s">
        <v>18</v>
      </c>
      <c r="F82" s="49" t="s">
        <v>19</v>
      </c>
      <c r="G82" s="50">
        <f>(164248+57334+100006+415543)/2650</f>
        <v>278.16264150943397</v>
      </c>
      <c r="H82" s="51" t="s">
        <v>204</v>
      </c>
    </row>
    <row r="83" spans="1:8" x14ac:dyDescent="0.25">
      <c r="A83" s="38">
        <v>81</v>
      </c>
      <c r="B83" s="46" t="s">
        <v>205</v>
      </c>
      <c r="C83" s="40">
        <v>271567221</v>
      </c>
      <c r="D83" s="40" t="s">
        <v>206</v>
      </c>
      <c r="E83" s="41" t="s">
        <v>12</v>
      </c>
      <c r="F83" s="42" t="s">
        <v>19</v>
      </c>
      <c r="G83" s="43">
        <f>280+880+150</f>
        <v>1310</v>
      </c>
      <c r="H83" s="45" t="s">
        <v>207</v>
      </c>
    </row>
    <row r="84" spans="1:8" x14ac:dyDescent="0.25">
      <c r="A84" s="38">
        <v>82</v>
      </c>
      <c r="B84" s="46" t="s">
        <v>205</v>
      </c>
      <c r="C84" s="40">
        <v>271567221</v>
      </c>
      <c r="D84" s="40" t="s">
        <v>206</v>
      </c>
      <c r="E84" s="41" t="s">
        <v>18</v>
      </c>
      <c r="F84" s="42" t="s">
        <v>19</v>
      </c>
      <c r="G84" s="43">
        <f>630137/2650</f>
        <v>237.78754716981132</v>
      </c>
      <c r="H84" s="45" t="s">
        <v>207</v>
      </c>
    </row>
    <row r="85" ht="29" customHeight="1" spans="1:8" x14ac:dyDescent="0.25">
      <c r="A85" s="38">
        <v>83</v>
      </c>
      <c r="B85" s="46" t="s">
        <v>208</v>
      </c>
      <c r="C85" s="40" t="s">
        <v>209</v>
      </c>
      <c r="D85" s="40" t="s">
        <v>210</v>
      </c>
      <c r="E85" s="41" t="s">
        <v>12</v>
      </c>
      <c r="F85" s="42" t="s">
        <v>19</v>
      </c>
      <c r="G85" s="43">
        <f>160+300</f>
        <v>460</v>
      </c>
      <c r="H85" s="44" t="s">
        <v>101</v>
      </c>
    </row>
    <row r="86" ht="29" customHeight="1" spans="1:8" x14ac:dyDescent="0.25">
      <c r="A86" s="38">
        <v>84</v>
      </c>
      <c r="B86" s="46" t="s">
        <v>208</v>
      </c>
      <c r="C86" s="40" t="s">
        <v>209</v>
      </c>
      <c r="D86" s="40" t="s">
        <v>210</v>
      </c>
      <c r="E86" s="41" t="s">
        <v>18</v>
      </c>
      <c r="F86" s="42" t="s">
        <v>19</v>
      </c>
      <c r="G86" s="43">
        <f>(70130+1192197)/2650</f>
        <v>476.3498113207547</v>
      </c>
      <c r="H86" s="44" t="s">
        <v>101</v>
      </c>
    </row>
    <row r="87" spans="1:8" x14ac:dyDescent="0.25">
      <c r="A87" s="38">
        <v>85</v>
      </c>
      <c r="B87" s="46" t="s">
        <v>211</v>
      </c>
      <c r="C87" s="40" t="s">
        <v>212</v>
      </c>
      <c r="D87" s="40" t="s">
        <v>213</v>
      </c>
      <c r="E87" s="41" t="s">
        <v>12</v>
      </c>
      <c r="F87" s="42" t="s">
        <v>19</v>
      </c>
      <c r="G87" s="43">
        <f>472+177</f>
        <v>649</v>
      </c>
      <c r="H87" s="45" t="s">
        <v>214</v>
      </c>
    </row>
    <row r="88" spans="1:8" x14ac:dyDescent="0.25">
      <c r="A88" s="38">
        <v>86</v>
      </c>
      <c r="B88" s="46" t="s">
        <v>211</v>
      </c>
      <c r="C88" s="40" t="s">
        <v>212</v>
      </c>
      <c r="D88" s="40" t="s">
        <v>213</v>
      </c>
      <c r="E88" s="41" t="s">
        <v>18</v>
      </c>
      <c r="F88" s="42" t="s">
        <v>19</v>
      </c>
      <c r="G88" s="43">
        <f>(102151+674351)/2650</f>
        <v>293.01962264150944</v>
      </c>
      <c r="H88" s="45" t="s">
        <v>214</v>
      </c>
    </row>
    <row r="89" spans="1:8" x14ac:dyDescent="0.25">
      <c r="A89" s="38">
        <v>87</v>
      </c>
      <c r="B89" s="46" t="s">
        <v>215</v>
      </c>
      <c r="C89" s="47" t="s">
        <v>216</v>
      </c>
      <c r="D89" s="47" t="s">
        <v>217</v>
      </c>
      <c r="E89" s="48" t="s">
        <v>18</v>
      </c>
      <c r="F89" s="49" t="s">
        <v>19</v>
      </c>
      <c r="G89" s="50">
        <f>(379466+79719)/2650</f>
        <v>173.27735849056603</v>
      </c>
      <c r="H89" s="51" t="s">
        <v>218</v>
      </c>
    </row>
    <row r="90" spans="1:8" x14ac:dyDescent="0.25">
      <c r="A90" s="38">
        <v>88</v>
      </c>
      <c r="B90" s="46" t="s">
        <v>219</v>
      </c>
      <c r="C90" s="40">
        <v>149604418141</v>
      </c>
      <c r="D90" s="40" t="s">
        <v>220</v>
      </c>
      <c r="E90" s="41" t="s">
        <v>12</v>
      </c>
      <c r="F90" s="49" t="s">
        <v>19</v>
      </c>
      <c r="G90" s="43">
        <f>640+150</f>
        <v>790</v>
      </c>
      <c r="H90" s="45" t="s">
        <v>221</v>
      </c>
    </row>
    <row r="91" spans="1:8" x14ac:dyDescent="0.25">
      <c r="A91" s="38">
        <v>89</v>
      </c>
      <c r="B91" s="46" t="s">
        <v>219</v>
      </c>
      <c r="C91" s="40">
        <v>149604418141</v>
      </c>
      <c r="D91" s="40" t="s">
        <v>220</v>
      </c>
      <c r="E91" s="41" t="s">
        <v>18</v>
      </c>
      <c r="F91" s="49" t="s">
        <v>19</v>
      </c>
      <c r="G91" s="43">
        <f>229354/2650</f>
        <v>86.54867924528303</v>
      </c>
      <c r="H91" s="45" t="s">
        <v>221</v>
      </c>
    </row>
    <row r="92" spans="1:8" x14ac:dyDescent="0.25">
      <c r="A92" s="38">
        <v>90</v>
      </c>
      <c r="B92" s="46" t="s">
        <v>222</v>
      </c>
      <c r="C92" s="40" t="s">
        <v>223</v>
      </c>
      <c r="D92" s="40" t="s">
        <v>224</v>
      </c>
      <c r="E92" s="41" t="s">
        <v>12</v>
      </c>
      <c r="F92" s="49" t="s">
        <v>19</v>
      </c>
      <c r="G92" s="43">
        <v>1498.6</v>
      </c>
      <c r="H92" s="45" t="s">
        <v>225</v>
      </c>
    </row>
    <row r="93" spans="1:8" x14ac:dyDescent="0.25">
      <c r="A93" s="38">
        <v>91</v>
      </c>
      <c r="B93" s="46" t="s">
        <v>222</v>
      </c>
      <c r="C93" s="40" t="s">
        <v>223</v>
      </c>
      <c r="D93" s="40" t="s">
        <v>224</v>
      </c>
      <c r="E93" s="41" t="s">
        <v>18</v>
      </c>
      <c r="F93" s="49" t="s">
        <v>19</v>
      </c>
      <c r="G93" s="43">
        <f>(178726+1081980)/2650</f>
        <v>475.73811320754714</v>
      </c>
      <c r="H93" s="45" t="s">
        <v>225</v>
      </c>
    </row>
    <row r="94" spans="1:8" x14ac:dyDescent="0.25">
      <c r="A94" s="38">
        <v>92</v>
      </c>
      <c r="B94" s="46" t="s">
        <v>226</v>
      </c>
      <c r="C94" s="40" t="s">
        <v>227</v>
      </c>
      <c r="D94" s="40" t="s">
        <v>228</v>
      </c>
      <c r="E94" s="41" t="s">
        <v>12</v>
      </c>
      <c r="F94" s="49" t="s">
        <v>19</v>
      </c>
      <c r="G94" s="43">
        <v>1309.8</v>
      </c>
      <c r="H94" s="45" t="s">
        <v>225</v>
      </c>
    </row>
    <row r="95" spans="1:8" x14ac:dyDescent="0.25">
      <c r="A95" s="38">
        <v>93</v>
      </c>
      <c r="B95" s="46" t="s">
        <v>226</v>
      </c>
      <c r="C95" s="40" t="s">
        <v>227</v>
      </c>
      <c r="D95" s="40" t="s">
        <v>228</v>
      </c>
      <c r="E95" s="41" t="s">
        <v>18</v>
      </c>
      <c r="F95" s="49" t="s">
        <v>19</v>
      </c>
      <c r="G95" s="43">
        <f>(55673+1202890+57264)/2650</f>
        <v>496.53849056603775</v>
      </c>
      <c r="H95" s="45" t="s">
        <v>225</v>
      </c>
    </row>
    <row r="96" spans="1:8" x14ac:dyDescent="0.25">
      <c r="A96" s="38">
        <v>94</v>
      </c>
      <c r="B96" s="46" t="s">
        <v>229</v>
      </c>
      <c r="C96" s="40" t="s">
        <v>230</v>
      </c>
      <c r="D96" s="40" t="s">
        <v>231</v>
      </c>
      <c r="E96" s="41" t="s">
        <v>12</v>
      </c>
      <c r="F96" s="49" t="s">
        <v>19</v>
      </c>
      <c r="G96" s="43">
        <v>1309.8</v>
      </c>
      <c r="H96" s="45" t="s">
        <v>225</v>
      </c>
    </row>
    <row r="97" ht="15" customHeight="1" spans="1:8" x14ac:dyDescent="0.25">
      <c r="A97" s="52">
        <v>95</v>
      </c>
      <c r="B97" s="53" t="s">
        <v>229</v>
      </c>
      <c r="C97" s="54" t="s">
        <v>230</v>
      </c>
      <c r="D97" s="54" t="s">
        <v>231</v>
      </c>
      <c r="E97" s="55" t="s">
        <v>18</v>
      </c>
      <c r="F97" s="56" t="s">
        <v>19</v>
      </c>
      <c r="G97" s="57">
        <f>(1202890+57264)/2650</f>
        <v>475.52981132075473</v>
      </c>
      <c r="H97" s="58" t="s">
        <v>225</v>
      </c>
    </row>
    <row r="98" ht="15" customHeight="1" spans="7:7" x14ac:dyDescent="0.25">
      <c r="G98" s="59">
        <f>SUM(G3:G97)</f>
        <v>56356.39972973568</v>
      </c>
    </row>
    <row r="99" spans="7:8" x14ac:dyDescent="0.25">
      <c r="G99" s="60"/>
      <c r="H99" s="61"/>
    </row>
    <row r="100" spans="7:7" x14ac:dyDescent="0.25">
      <c r="G100" s="62"/>
    </row>
    <row r="102" spans="7:7" x14ac:dyDescent="0.25">
      <c r="G102" s="62"/>
    </row>
    <row r="103" spans="7:7" x14ac:dyDescent="0.25">
      <c r="G103" s="62"/>
    </row>
    <row r="104" spans="7:7" x14ac:dyDescent="0.25">
      <c r="G104" s="62"/>
    </row>
    <row r="105" spans="7:7" x14ac:dyDescent="0.25">
      <c r="G105" s="62"/>
    </row>
    <row r="106" spans="7:7" x14ac:dyDescent="0.25">
      <c r="G106" s="62"/>
    </row>
    <row r="107" spans="7:7" x14ac:dyDescent="0.25">
      <c r="G107" s="62"/>
    </row>
  </sheetData>
  <autoFilter ref="A2:H98"/>
  <mergeCells count="1">
    <mergeCell ref="A1:H1"/>
  </mergeCells>
  <pageMargins left="0.7" right="0.7" top="0.75" bottom="0.75" header="0.3" footer="0.3"/>
  <pageSetup paperSize="9" orientation="landscape" horizontalDpi="4294967295" verticalDpi="4294967295" scale="5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8"/>
  <sheetViews>
    <sheetView workbookViewId="0" zoomScale="100" zoomScaleNormal="100">
      <pane ySplit="2" topLeftCell="A9" activePane="bottomLeft" state="frozen"/>
      <selection pane="bottomLeft" activeCell="C27" sqref="C27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style="63" customWidth="1"/>
    <col min="7" max="7" width="14.453125" customWidth="1"/>
  </cols>
  <sheetData>
    <row r="1" ht="21.5" customHeight="1" spans="1:7" x14ac:dyDescent="0.25">
      <c r="A1" s="64" t="s">
        <v>0</v>
      </c>
      <c r="B1" s="4"/>
      <c r="C1" s="4"/>
      <c r="D1" s="4"/>
      <c r="E1" s="4"/>
      <c r="F1" s="4"/>
      <c r="G1" s="4"/>
    </row>
    <row r="2" ht="15" customHeight="1" spans="1:7" x14ac:dyDescent="0.25">
      <c r="A2" s="65" t="s">
        <v>1</v>
      </c>
      <c r="B2" s="66" t="s">
        <v>2</v>
      </c>
      <c r="C2" s="67" t="s">
        <v>3</v>
      </c>
      <c r="D2" s="66" t="s">
        <v>4</v>
      </c>
      <c r="E2" s="68" t="s">
        <v>5</v>
      </c>
      <c r="F2" s="66" t="s">
        <v>6</v>
      </c>
      <c r="G2" s="68" t="s">
        <v>7</v>
      </c>
    </row>
    <row r="3" ht="58" customHeight="1" spans="1:7" x14ac:dyDescent="0.25">
      <c r="A3" s="69">
        <v>1</v>
      </c>
      <c r="B3" s="70" t="s">
        <v>232</v>
      </c>
      <c r="C3" s="71" t="s">
        <v>233</v>
      </c>
      <c r="D3" s="72" t="s">
        <v>234</v>
      </c>
      <c r="E3" s="73" t="s">
        <v>18</v>
      </c>
      <c r="F3" s="74">
        <v>67214</v>
      </c>
      <c r="G3" s="75">
        <f>460155/2600</f>
        <v>176.9826923076923</v>
      </c>
    </row>
    <row r="4" spans="1:7" x14ac:dyDescent="0.25">
      <c r="A4" s="76">
        <v>2</v>
      </c>
      <c r="B4" s="77" t="s">
        <v>235</v>
      </c>
      <c r="C4" s="78" t="s">
        <v>236</v>
      </c>
      <c r="D4" s="79" t="s">
        <v>237</v>
      </c>
      <c r="E4" s="80" t="s">
        <v>18</v>
      </c>
      <c r="F4" s="81">
        <v>67214</v>
      </c>
      <c r="G4" s="82">
        <f>(324330+19079)/2600</f>
        <v>132.08038461538462</v>
      </c>
    </row>
    <row r="5" spans="1:7" x14ac:dyDescent="0.25">
      <c r="A5" s="76">
        <v>3</v>
      </c>
      <c r="B5" s="77" t="s">
        <v>238</v>
      </c>
      <c r="C5" s="78" t="s">
        <v>239</v>
      </c>
      <c r="D5" s="79" t="s">
        <v>240</v>
      </c>
      <c r="E5" s="80" t="s">
        <v>18</v>
      </c>
      <c r="F5" s="81">
        <v>67214</v>
      </c>
      <c r="G5" s="82">
        <f>(57238)/2600</f>
        <v>22.014615384615386</v>
      </c>
    </row>
    <row r="6" spans="1:7" x14ac:dyDescent="0.25">
      <c r="A6" s="76">
        <v>4</v>
      </c>
      <c r="B6" s="77" t="s">
        <v>241</v>
      </c>
      <c r="C6" s="78">
        <v>149602692342</v>
      </c>
      <c r="D6" s="79" t="s">
        <v>242</v>
      </c>
      <c r="E6" s="80" t="s">
        <v>18</v>
      </c>
      <c r="F6" s="81">
        <v>67214</v>
      </c>
      <c r="G6" s="82">
        <f>(206692+22259)/2600</f>
        <v>88.05807692307692</v>
      </c>
    </row>
    <row r="7" ht="43.5" customHeight="1" spans="1:7" x14ac:dyDescent="0.25">
      <c r="A7" s="76">
        <v>5</v>
      </c>
      <c r="B7" s="83" t="s">
        <v>243</v>
      </c>
      <c r="C7" s="84" t="s">
        <v>244</v>
      </c>
      <c r="D7" s="85" t="s">
        <v>245</v>
      </c>
      <c r="E7" s="86" t="s">
        <v>18</v>
      </c>
      <c r="F7" s="87">
        <v>67214</v>
      </c>
      <c r="G7" s="88">
        <f>(567205+1150386)/2600</f>
        <v>660.6119230769231</v>
      </c>
    </row>
    <row r="8" spans="1:7" x14ac:dyDescent="0.25">
      <c r="A8" s="76">
        <v>6</v>
      </c>
      <c r="B8" s="83" t="s">
        <v>246</v>
      </c>
      <c r="C8" s="89" t="s">
        <v>247</v>
      </c>
      <c r="D8" s="89" t="s">
        <v>248</v>
      </c>
      <c r="E8" s="80" t="s">
        <v>12</v>
      </c>
      <c r="F8" s="81">
        <v>67214</v>
      </c>
      <c r="G8" s="82">
        <v>630</v>
      </c>
    </row>
    <row r="9" spans="1:7" x14ac:dyDescent="0.25">
      <c r="A9" s="76">
        <v>7</v>
      </c>
      <c r="B9" s="83" t="s">
        <v>246</v>
      </c>
      <c r="C9" s="89" t="s">
        <v>247</v>
      </c>
      <c r="D9" s="89" t="s">
        <v>248</v>
      </c>
      <c r="E9" s="80" t="s">
        <v>18</v>
      </c>
      <c r="F9" s="81">
        <v>67214</v>
      </c>
      <c r="G9" s="82">
        <f>171758/2600</f>
        <v>66.06076923076922</v>
      </c>
    </row>
    <row r="10" spans="1:7" x14ac:dyDescent="0.25">
      <c r="A10" s="76">
        <v>8</v>
      </c>
      <c r="B10" s="83" t="s">
        <v>249</v>
      </c>
      <c r="C10" s="89" t="s">
        <v>250</v>
      </c>
      <c r="D10" s="89" t="s">
        <v>251</v>
      </c>
      <c r="E10" s="80" t="s">
        <v>12</v>
      </c>
      <c r="F10" s="81">
        <v>67214</v>
      </c>
      <c r="G10" s="82">
        <f>240+150+160</f>
        <v>550</v>
      </c>
    </row>
    <row r="11" spans="1:7" x14ac:dyDescent="0.25">
      <c r="A11" s="76">
        <v>9</v>
      </c>
      <c r="B11" s="83" t="s">
        <v>252</v>
      </c>
      <c r="C11" s="89" t="s">
        <v>253</v>
      </c>
      <c r="D11" s="89" t="s">
        <v>254</v>
      </c>
      <c r="E11" s="80" t="s">
        <v>12</v>
      </c>
      <c r="F11" s="81">
        <v>67214</v>
      </c>
      <c r="G11" s="82">
        <f>240+80+150</f>
        <v>470</v>
      </c>
    </row>
    <row r="12" spans="1:7" x14ac:dyDescent="0.25">
      <c r="A12" s="76">
        <v>10</v>
      </c>
      <c r="B12" s="83" t="s">
        <v>255</v>
      </c>
      <c r="C12" s="84">
        <v>149603863710</v>
      </c>
      <c r="D12" s="85" t="s">
        <v>256</v>
      </c>
      <c r="E12" s="80" t="s">
        <v>18</v>
      </c>
      <c r="F12" s="81"/>
      <c r="G12" s="82">
        <f>(414444+102017)/2650</f>
        <v>194.89094339622642</v>
      </c>
    </row>
    <row r="13" spans="1:7" x14ac:dyDescent="0.25">
      <c r="A13" s="76">
        <v>11</v>
      </c>
      <c r="B13" s="83" t="s">
        <v>257</v>
      </c>
      <c r="C13" s="89" t="s">
        <v>258</v>
      </c>
      <c r="D13" s="89" t="s">
        <v>259</v>
      </c>
      <c r="E13" s="80" t="s">
        <v>12</v>
      </c>
      <c r="F13" s="81"/>
      <c r="G13" s="82">
        <v>910</v>
      </c>
    </row>
    <row r="14" spans="1:7" x14ac:dyDescent="0.25">
      <c r="A14" s="76">
        <v>12</v>
      </c>
      <c r="B14" s="83" t="s">
        <v>257</v>
      </c>
      <c r="C14" s="89" t="s">
        <v>258</v>
      </c>
      <c r="D14" s="89" t="s">
        <v>259</v>
      </c>
      <c r="E14" s="80" t="s">
        <v>18</v>
      </c>
      <c r="F14" s="81"/>
      <c r="G14" s="82">
        <f>114797/2650</f>
        <v>43.31962264150943</v>
      </c>
    </row>
    <row r="15" spans="1:7" x14ac:dyDescent="0.25">
      <c r="A15" s="76">
        <v>13</v>
      </c>
      <c r="B15" s="83" t="s">
        <v>260</v>
      </c>
      <c r="C15" s="89">
        <v>149603732411</v>
      </c>
      <c r="D15" s="89" t="s">
        <v>261</v>
      </c>
      <c r="E15" s="80" t="s">
        <v>18</v>
      </c>
      <c r="F15" s="81"/>
      <c r="G15" s="82">
        <f>325604/2650</f>
        <v>122.86943396226415</v>
      </c>
    </row>
    <row r="16" spans="1:7" x14ac:dyDescent="0.25">
      <c r="A16" s="76">
        <v>14</v>
      </c>
      <c r="B16" s="83" t="s">
        <v>262</v>
      </c>
      <c r="C16" s="89" t="s">
        <v>263</v>
      </c>
      <c r="D16" s="89" t="s">
        <v>264</v>
      </c>
      <c r="E16" s="80" t="s">
        <v>12</v>
      </c>
      <c r="F16" s="81"/>
      <c r="G16" s="82">
        <v>649</v>
      </c>
    </row>
    <row r="17" spans="1:7" x14ac:dyDescent="0.25">
      <c r="A17" s="76">
        <v>15</v>
      </c>
      <c r="B17" s="83" t="s">
        <v>262</v>
      </c>
      <c r="C17" s="89" t="s">
        <v>263</v>
      </c>
      <c r="D17" s="89" t="s">
        <v>264</v>
      </c>
      <c r="E17" s="80" t="s">
        <v>18</v>
      </c>
      <c r="F17" s="81"/>
      <c r="G17" s="82">
        <f>704942/2650</f>
        <v>266.01584905660377</v>
      </c>
    </row>
    <row r="18" spans="1:7" x14ac:dyDescent="0.25">
      <c r="A18" s="76">
        <v>16</v>
      </c>
      <c r="B18" s="83" t="s">
        <v>265</v>
      </c>
      <c r="C18" s="89" t="s">
        <v>266</v>
      </c>
      <c r="D18" s="89" t="s">
        <v>267</v>
      </c>
      <c r="E18" s="80" t="s">
        <v>12</v>
      </c>
      <c r="F18" s="81"/>
      <c r="G18" s="82">
        <f>554.6+94.4</f>
        <v>649</v>
      </c>
    </row>
    <row r="19" spans="1:7" x14ac:dyDescent="0.25">
      <c r="A19" s="76">
        <v>17</v>
      </c>
      <c r="B19" s="83" t="s">
        <v>265</v>
      </c>
      <c r="C19" s="89" t="s">
        <v>266</v>
      </c>
      <c r="D19" s="89" t="s">
        <v>267</v>
      </c>
      <c r="E19" s="80" t="s">
        <v>18</v>
      </c>
      <c r="F19" s="81"/>
      <c r="G19" s="82">
        <f>861236/2650</f>
        <v>324.99471698113206</v>
      </c>
    </row>
    <row r="20" spans="1:7" x14ac:dyDescent="0.25">
      <c r="A20" s="76">
        <v>18</v>
      </c>
      <c r="B20" s="83" t="s">
        <v>268</v>
      </c>
      <c r="C20" s="89" t="s">
        <v>269</v>
      </c>
      <c r="D20" s="89" t="s">
        <v>270</v>
      </c>
      <c r="E20" s="80" t="s">
        <v>12</v>
      </c>
      <c r="F20" s="81">
        <v>68944</v>
      </c>
      <c r="G20" s="82">
        <v>1357</v>
      </c>
    </row>
    <row r="21" spans="1:7" x14ac:dyDescent="0.25">
      <c r="A21" s="76">
        <v>19</v>
      </c>
      <c r="B21" s="83" t="s">
        <v>268</v>
      </c>
      <c r="C21" s="89" t="s">
        <v>269</v>
      </c>
      <c r="D21" s="89" t="s">
        <v>270</v>
      </c>
      <c r="E21" s="80" t="s">
        <v>18</v>
      </c>
      <c r="F21" s="81">
        <v>68944</v>
      </c>
      <c r="G21" s="82">
        <f>(57400+1192628+242352)/2650</f>
        <v>563.1622641509434</v>
      </c>
    </row>
    <row r="22" spans="1:7" x14ac:dyDescent="0.25">
      <c r="A22" s="76">
        <v>20</v>
      </c>
      <c r="B22" s="83" t="s">
        <v>271</v>
      </c>
      <c r="C22" s="89" t="s">
        <v>272</v>
      </c>
      <c r="D22" s="89" t="s">
        <v>273</v>
      </c>
      <c r="E22" s="80" t="s">
        <v>12</v>
      </c>
      <c r="F22" s="81"/>
      <c r="G22" s="82">
        <f>94.4+1215.4</f>
        <v>1309.8000000000002</v>
      </c>
    </row>
    <row r="23" spans="1:7" x14ac:dyDescent="0.25">
      <c r="A23" s="76">
        <v>21</v>
      </c>
      <c r="B23" s="83" t="s">
        <v>271</v>
      </c>
      <c r="C23" s="89" t="s">
        <v>272</v>
      </c>
      <c r="D23" s="89" t="s">
        <v>273</v>
      </c>
      <c r="E23" s="80" t="s">
        <v>18</v>
      </c>
      <c r="F23" s="81"/>
      <c r="G23" s="82">
        <f>(162504+811311)/2650</f>
        <v>367.477358490566</v>
      </c>
    </row>
    <row r="24" spans="1:7" x14ac:dyDescent="0.25">
      <c r="A24" s="76">
        <v>22</v>
      </c>
      <c r="B24" s="83" t="s">
        <v>274</v>
      </c>
      <c r="C24" s="89">
        <v>147601074258</v>
      </c>
      <c r="D24" s="89" t="s">
        <v>275</v>
      </c>
      <c r="E24" s="80" t="s">
        <v>12</v>
      </c>
      <c r="F24" s="81">
        <v>68717</v>
      </c>
      <c r="G24" s="82">
        <f>150+27+80+14.4</f>
        <v>271.4</v>
      </c>
    </row>
    <row r="25" ht="15" customHeight="1" spans="1:7" x14ac:dyDescent="0.25">
      <c r="A25" s="90">
        <v>23</v>
      </c>
      <c r="B25" s="91" t="s">
        <v>274</v>
      </c>
      <c r="C25" s="92">
        <v>147601074258</v>
      </c>
      <c r="D25" s="92" t="s">
        <v>275</v>
      </c>
      <c r="E25" s="93" t="s">
        <v>18</v>
      </c>
      <c r="F25" s="94">
        <v>68717</v>
      </c>
      <c r="G25" s="95">
        <f>(89085+540874)/2650</f>
        <v>237.72037735849057</v>
      </c>
    </row>
    <row r="26" ht="15" customHeight="1" spans="7:7" x14ac:dyDescent="0.25">
      <c r="G26" s="96">
        <f>SUM(G3:G25)</f>
        <v>10062.459027576197</v>
      </c>
    </row>
    <row r="27" spans="7:8" x14ac:dyDescent="0.25">
      <c r="G27" s="97"/>
      <c r="H27" s="61"/>
    </row>
    <row r="28" spans="6:7" x14ac:dyDescent="0.25">
      <c r="F28" s="63" t="s">
        <v>276</v>
      </c>
      <c r="G28" s="61"/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workbookViewId="0" zoomScale="100" zoomScaleNormal="100">
      <pane xSplit="2" ySplit="1" topLeftCell="AA67" activePane="bottomRight" state="frozen"/>
      <selection pane="bottomRight" activeCell="B48" sqref="B48"/>
    </sheetView>
  </sheetViews>
  <sheetFormatPr defaultRowHeight="14.5" outlineLevelRow="0" outlineLevelCol="0" x14ac:dyDescent="0.35" defaultColWidth="11.453125" customHeight="1"/>
  <cols>
    <col min="1" max="1" width="22.1796875" customWidth="1"/>
    <col min="2" max="2" width="19.54296875" customWidth="1"/>
    <col min="3" max="3" width="13.7265625" customWidth="1"/>
    <col min="7" max="7" width="18.26953125" customWidth="1"/>
    <col min="8" max="8" width="19.7265625" customWidth="1"/>
    <col min="9" max="9" width="16.1796875" customWidth="1"/>
    <col min="10" max="10" width="55" customWidth="1"/>
    <col min="11" max="11" width="25.81640625" customWidth="1"/>
    <col min="12" max="12" width="13" customWidth="1"/>
    <col min="13" max="13" width="46.54296875" customWidth="1"/>
    <col min="14" max="14" width="22.1796875" customWidth="1"/>
    <col min="15" max="15" width="19.54296875" customWidth="1"/>
    <col min="18" max="18" width="14.54296875" customWidth="1"/>
    <col min="19" max="19" width="12.54296875" customWidth="1"/>
    <col min="21" max="21" width="17.81640625" customWidth="1"/>
    <col min="22" max="22" width="22.1796875" customWidth="1"/>
    <col min="23" max="23" width="12.453125" customWidth="1"/>
    <col min="24" max="24" width="23" customWidth="1"/>
    <col min="25" max="25" width="15.1796875" customWidth="1"/>
    <col min="27" max="27" width="30" customWidth="1"/>
    <col min="30" max="30" width="13.26953125" customWidth="1"/>
    <col min="31" max="31" width="147.453125" customWidth="1"/>
  </cols>
  <sheetData>
    <row r="1" ht="15.5" customHeight="1" spans="1:31" x14ac:dyDescent="0.25">
      <c r="A1" s="98" t="s">
        <v>277</v>
      </c>
      <c r="B1" s="98" t="s">
        <v>278</v>
      </c>
      <c r="C1" s="98" t="s">
        <v>279</v>
      </c>
      <c r="D1" s="98" t="s">
        <v>280</v>
      </c>
      <c r="E1" s="99" t="s">
        <v>281</v>
      </c>
      <c r="F1" s="98" t="s">
        <v>282</v>
      </c>
      <c r="G1" s="98" t="s">
        <v>283</v>
      </c>
      <c r="H1" s="100" t="s">
        <v>284</v>
      </c>
      <c r="I1" s="98" t="s">
        <v>285</v>
      </c>
      <c r="J1" s="98" t="s">
        <v>286</v>
      </c>
      <c r="K1" s="101" t="s">
        <v>287</v>
      </c>
      <c r="L1" s="98" t="s">
        <v>288</v>
      </c>
      <c r="M1" s="98" t="s">
        <v>289</v>
      </c>
      <c r="N1" s="98" t="s">
        <v>290</v>
      </c>
      <c r="O1" s="98" t="s">
        <v>291</v>
      </c>
      <c r="P1" s="98" t="s">
        <v>292</v>
      </c>
      <c r="Q1" s="98" t="s">
        <v>293</v>
      </c>
      <c r="R1" s="98" t="s">
        <v>294</v>
      </c>
      <c r="S1" s="98" t="s">
        <v>295</v>
      </c>
      <c r="T1" s="102" t="s">
        <v>296</v>
      </c>
      <c r="U1" s="98" t="s">
        <v>297</v>
      </c>
      <c r="V1" s="98" t="s">
        <v>298</v>
      </c>
      <c r="W1" s="98" t="s">
        <v>299</v>
      </c>
      <c r="X1" s="98" t="s">
        <v>300</v>
      </c>
      <c r="Y1" s="98" t="s">
        <v>301</v>
      </c>
      <c r="Z1" s="98" t="s">
        <v>302</v>
      </c>
      <c r="AA1" s="98" t="s">
        <v>303</v>
      </c>
      <c r="AB1" s="98" t="s">
        <v>304</v>
      </c>
      <c r="AC1" s="98" t="s">
        <v>305</v>
      </c>
      <c r="AD1" s="98" t="s">
        <v>306</v>
      </c>
      <c r="AE1" s="98" t="s">
        <v>307</v>
      </c>
    </row>
    <row r="2" spans="1:31" x14ac:dyDescent="0.25">
      <c r="A2" s="103" t="s">
        <v>308</v>
      </c>
      <c r="B2" s="104" t="s">
        <v>309</v>
      </c>
      <c r="C2" s="103" t="s">
        <v>310</v>
      </c>
      <c r="D2" s="103" t="s">
        <v>311</v>
      </c>
      <c r="E2" s="103">
        <v>24249</v>
      </c>
      <c r="F2" s="103" t="s">
        <v>312</v>
      </c>
      <c r="G2" s="103" t="s">
        <v>313</v>
      </c>
      <c r="H2" s="103" t="s">
        <v>314</v>
      </c>
      <c r="I2" s="103" t="s">
        <v>315</v>
      </c>
      <c r="J2" s="103" t="s">
        <v>316</v>
      </c>
      <c r="K2" s="103" t="s">
        <v>317</v>
      </c>
      <c r="L2" s="103" t="s">
        <v>318</v>
      </c>
      <c r="M2" s="103" t="s">
        <v>319</v>
      </c>
      <c r="N2" s="103" t="s">
        <v>320</v>
      </c>
      <c r="O2" s="105">
        <v>46188</v>
      </c>
      <c r="P2" s="105">
        <v>46211</v>
      </c>
      <c r="Q2" s="105">
        <v>46212</v>
      </c>
      <c r="R2" s="105">
        <v>46213</v>
      </c>
      <c r="S2" s="105">
        <v>46213</v>
      </c>
      <c r="T2" s="105">
        <v>46233</v>
      </c>
      <c r="U2" s="105">
        <v>46218</v>
      </c>
      <c r="V2" s="105">
        <v>46233</v>
      </c>
      <c r="W2" s="105">
        <v>46235</v>
      </c>
      <c r="X2" s="105">
        <v>46233</v>
      </c>
      <c r="Y2" s="105">
        <v>46234</v>
      </c>
      <c r="Z2" s="105">
        <v>46234</v>
      </c>
      <c r="AA2" s="103" t="s">
        <v>321</v>
      </c>
      <c r="AB2" s="105">
        <v>46234</v>
      </c>
      <c r="AC2" s="105">
        <v>46235</v>
      </c>
      <c r="AD2" s="103" t="s">
        <v>322</v>
      </c>
      <c r="AE2" s="106" t="s">
        <v>323</v>
      </c>
    </row>
    <row r="3" spans="1:31" x14ac:dyDescent="0.25">
      <c r="A3" s="103" t="s">
        <v>9</v>
      </c>
      <c r="B3" s="104" t="s">
        <v>324</v>
      </c>
      <c r="C3" s="103" t="s">
        <v>325</v>
      </c>
      <c r="D3" s="103" t="s">
        <v>311</v>
      </c>
      <c r="E3" s="103">
        <v>21581.7</v>
      </c>
      <c r="F3" s="103" t="s">
        <v>312</v>
      </c>
      <c r="G3" s="103" t="s">
        <v>313</v>
      </c>
      <c r="H3" s="103" t="s">
        <v>326</v>
      </c>
      <c r="I3" s="103" t="s">
        <v>315</v>
      </c>
      <c r="J3" s="103" t="s">
        <v>316</v>
      </c>
      <c r="K3" s="103" t="s">
        <v>317</v>
      </c>
      <c r="L3" s="103" t="s">
        <v>327</v>
      </c>
      <c r="M3" s="103" t="s">
        <v>319</v>
      </c>
      <c r="N3" s="103" t="s">
        <v>328</v>
      </c>
      <c r="O3" s="105">
        <v>46200</v>
      </c>
      <c r="P3" s="105">
        <v>46211</v>
      </c>
      <c r="Q3" s="105">
        <v>46211</v>
      </c>
      <c r="R3" s="105">
        <v>46211</v>
      </c>
      <c r="S3" s="105">
        <v>46212</v>
      </c>
      <c r="T3" s="105">
        <v>46219</v>
      </c>
      <c r="U3" s="105">
        <v>46213</v>
      </c>
      <c r="V3" s="105">
        <v>46225</v>
      </c>
      <c r="W3" s="105">
        <v>46225</v>
      </c>
      <c r="X3" s="105">
        <v>46216</v>
      </c>
      <c r="Y3" s="105">
        <v>46225</v>
      </c>
      <c r="Z3" s="105">
        <v>46225</v>
      </c>
      <c r="AA3" s="103" t="s">
        <v>329</v>
      </c>
      <c r="AB3" s="105">
        <v>46225</v>
      </c>
      <c r="AC3" s="105">
        <v>46225</v>
      </c>
      <c r="AD3" s="103" t="s">
        <v>322</v>
      </c>
      <c r="AE3" s="106" t="s">
        <v>330</v>
      </c>
    </row>
    <row r="4" spans="1:31" x14ac:dyDescent="0.25">
      <c r="A4" s="103" t="s">
        <v>331</v>
      </c>
      <c r="B4" s="104" t="s">
        <v>332</v>
      </c>
      <c r="C4" s="103" t="s">
        <v>333</v>
      </c>
      <c r="D4" s="103" t="s">
        <v>311</v>
      </c>
      <c r="E4" s="103">
        <v>27685</v>
      </c>
      <c r="F4" s="103" t="s">
        <v>334</v>
      </c>
      <c r="G4" s="103" t="s">
        <v>313</v>
      </c>
      <c r="H4" s="103" t="s">
        <v>335</v>
      </c>
      <c r="I4" s="103" t="s">
        <v>315</v>
      </c>
      <c r="J4" s="103" t="s">
        <v>336</v>
      </c>
      <c r="K4" s="103" t="s">
        <v>337</v>
      </c>
      <c r="L4" s="103" t="s">
        <v>338</v>
      </c>
      <c r="M4" s="103" t="s">
        <v>339</v>
      </c>
      <c r="N4" s="103" t="s">
        <v>340</v>
      </c>
      <c r="O4" s="105">
        <v>46203</v>
      </c>
      <c r="P4" s="105">
        <v>46212</v>
      </c>
      <c r="Q4" s="105">
        <v>46214</v>
      </c>
      <c r="R4" s="105">
        <v>46219</v>
      </c>
      <c r="S4" s="105">
        <v>46219</v>
      </c>
      <c r="T4" s="105">
        <v>46228</v>
      </c>
      <c r="U4" s="105">
        <v>46212</v>
      </c>
      <c r="V4" s="105">
        <v>46232</v>
      </c>
      <c r="W4" s="105">
        <v>46232</v>
      </c>
      <c r="X4" s="105">
        <v>46228</v>
      </c>
      <c r="Y4" s="105">
        <v>46231</v>
      </c>
      <c r="Z4" s="105">
        <v>46231</v>
      </c>
      <c r="AA4" s="103" t="s">
        <v>341</v>
      </c>
      <c r="AB4" s="105">
        <v>46231</v>
      </c>
      <c r="AC4" s="105">
        <v>46234</v>
      </c>
      <c r="AD4" s="103" t="s">
        <v>342</v>
      </c>
      <c r="AE4" s="106" t="s">
        <v>343</v>
      </c>
    </row>
    <row r="5" spans="1:31" x14ac:dyDescent="0.25">
      <c r="A5" s="103" t="s">
        <v>331</v>
      </c>
      <c r="B5" s="104" t="s">
        <v>332</v>
      </c>
      <c r="C5" s="103" t="s">
        <v>333</v>
      </c>
      <c r="D5" s="103" t="s">
        <v>311</v>
      </c>
      <c r="E5" s="103">
        <v>27685</v>
      </c>
      <c r="F5" s="103" t="s">
        <v>334</v>
      </c>
      <c r="G5" s="103" t="s">
        <v>313</v>
      </c>
      <c r="H5" s="103" t="s">
        <v>335</v>
      </c>
      <c r="I5" s="103" t="s">
        <v>315</v>
      </c>
      <c r="J5" s="103" t="s">
        <v>336</v>
      </c>
      <c r="K5" s="103" t="s">
        <v>337</v>
      </c>
      <c r="L5" s="103" t="s">
        <v>338</v>
      </c>
      <c r="M5" s="103" t="s">
        <v>339</v>
      </c>
      <c r="N5" s="103" t="s">
        <v>340</v>
      </c>
      <c r="O5" s="105">
        <v>46203</v>
      </c>
      <c r="P5" s="105">
        <v>46212</v>
      </c>
      <c r="Q5" s="105">
        <v>46214</v>
      </c>
      <c r="R5" s="105">
        <v>46219</v>
      </c>
      <c r="S5" s="105">
        <v>46219</v>
      </c>
      <c r="T5" s="105">
        <v>46228</v>
      </c>
      <c r="U5" s="105">
        <v>46212</v>
      </c>
      <c r="V5" s="105">
        <v>46232</v>
      </c>
      <c r="W5" s="105">
        <v>46232</v>
      </c>
      <c r="X5" s="105">
        <v>46228</v>
      </c>
      <c r="Y5" s="105">
        <v>46231</v>
      </c>
      <c r="Z5" s="105">
        <v>46231</v>
      </c>
      <c r="AA5" s="103" t="s">
        <v>341</v>
      </c>
      <c r="AB5" s="105">
        <v>46231</v>
      </c>
      <c r="AC5" s="105">
        <v>46234</v>
      </c>
      <c r="AD5" s="103" t="s">
        <v>342</v>
      </c>
      <c r="AE5" s="106" t="s">
        <v>343</v>
      </c>
    </row>
    <row r="6" spans="1:31" x14ac:dyDescent="0.25">
      <c r="A6" s="103" t="s">
        <v>344</v>
      </c>
      <c r="B6" s="104" t="s">
        <v>345</v>
      </c>
      <c r="C6" s="103" t="s">
        <v>346</v>
      </c>
      <c r="D6" s="103" t="s">
        <v>311</v>
      </c>
      <c r="E6" s="103">
        <v>25080</v>
      </c>
      <c r="F6" s="103" t="s">
        <v>312</v>
      </c>
      <c r="G6" s="103" t="s">
        <v>313</v>
      </c>
      <c r="H6" s="103" t="s">
        <v>347</v>
      </c>
      <c r="I6" s="103" t="s">
        <v>315</v>
      </c>
      <c r="J6" s="103" t="s">
        <v>348</v>
      </c>
      <c r="K6" s="103" t="s">
        <v>349</v>
      </c>
      <c r="L6" s="103" t="s">
        <v>350</v>
      </c>
      <c r="M6" s="103" t="s">
        <v>351</v>
      </c>
      <c r="N6" s="103" t="s">
        <v>352</v>
      </c>
      <c r="O6" s="105">
        <v>46206</v>
      </c>
      <c r="P6" s="105">
        <v>46197</v>
      </c>
      <c r="Q6" s="105">
        <v>46198</v>
      </c>
      <c r="R6" s="105">
        <v>46201</v>
      </c>
      <c r="S6" s="105">
        <v>46204</v>
      </c>
      <c r="T6" s="105">
        <v>46220</v>
      </c>
      <c r="U6" s="105">
        <v>46214</v>
      </c>
      <c r="V6" s="105">
        <v>46223</v>
      </c>
      <c r="W6" s="105">
        <v>46223</v>
      </c>
      <c r="X6" s="105">
        <v>46216</v>
      </c>
      <c r="Y6" s="105">
        <v>46223</v>
      </c>
      <c r="Z6" s="105">
        <v>46223</v>
      </c>
      <c r="AA6" s="103" t="s">
        <v>353</v>
      </c>
      <c r="AB6" s="105">
        <v>46223</v>
      </c>
      <c r="AC6" s="105">
        <v>46224</v>
      </c>
      <c r="AD6" s="103" t="s">
        <v>354</v>
      </c>
      <c r="AE6" s="106" t="s">
        <v>355</v>
      </c>
    </row>
    <row r="7" spans="1:31" x14ac:dyDescent="0.25">
      <c r="A7" s="103" t="s">
        <v>15</v>
      </c>
      <c r="B7" s="104" t="s">
        <v>16</v>
      </c>
      <c r="C7" s="103" t="s">
        <v>356</v>
      </c>
      <c r="D7" s="103" t="s">
        <v>311</v>
      </c>
      <c r="E7" s="103">
        <v>26460</v>
      </c>
      <c r="F7" s="103" t="s">
        <v>312</v>
      </c>
      <c r="G7" s="103" t="s">
        <v>357</v>
      </c>
      <c r="H7" s="103" t="s">
        <v>358</v>
      </c>
      <c r="I7" s="103" t="s">
        <v>315</v>
      </c>
      <c r="J7" s="103" t="s">
        <v>359</v>
      </c>
      <c r="K7" s="103" t="s">
        <v>360</v>
      </c>
      <c r="L7" s="103" t="s">
        <v>361</v>
      </c>
      <c r="M7" s="103" t="s">
        <v>362</v>
      </c>
      <c r="N7" s="103" t="s">
        <v>363</v>
      </c>
      <c r="O7" s="105">
        <v>46203</v>
      </c>
      <c r="P7" s="105">
        <v>46206</v>
      </c>
      <c r="Q7" s="105">
        <v>46207</v>
      </c>
      <c r="R7" s="105">
        <v>46207</v>
      </c>
      <c r="S7" s="105">
        <v>46213</v>
      </c>
      <c r="T7" s="105">
        <v>46214</v>
      </c>
      <c r="U7" s="105">
        <v>46211</v>
      </c>
      <c r="V7" s="105">
        <v>46220</v>
      </c>
      <c r="W7" s="105">
        <v>46220</v>
      </c>
      <c r="X7" s="105">
        <v>46214</v>
      </c>
      <c r="Y7" s="105">
        <v>46237</v>
      </c>
      <c r="Z7" s="105">
        <v>46237</v>
      </c>
      <c r="AA7" s="103" t="s">
        <v>364</v>
      </c>
      <c r="AB7" s="105">
        <v>46238</v>
      </c>
      <c r="AC7" s="105">
        <v>46239</v>
      </c>
      <c r="AD7" s="103" t="s">
        <v>365</v>
      </c>
      <c r="AE7" s="106" t="s">
        <v>366</v>
      </c>
    </row>
    <row r="8" spans="1:31" x14ac:dyDescent="0.25">
      <c r="A8" s="103" t="s">
        <v>15</v>
      </c>
      <c r="B8" s="104" t="s">
        <v>16</v>
      </c>
      <c r="C8" s="103" t="s">
        <v>367</v>
      </c>
      <c r="D8" s="103" t="s">
        <v>311</v>
      </c>
      <c r="E8" s="103">
        <v>26712</v>
      </c>
      <c r="F8" s="103" t="s">
        <v>312</v>
      </c>
      <c r="G8" s="103" t="s">
        <v>357</v>
      </c>
      <c r="H8" s="103" t="s">
        <v>358</v>
      </c>
      <c r="I8" s="103" t="s">
        <v>315</v>
      </c>
      <c r="J8" s="103" t="s">
        <v>359</v>
      </c>
      <c r="K8" s="103" t="s">
        <v>360</v>
      </c>
      <c r="L8" s="103" t="s">
        <v>361</v>
      </c>
      <c r="M8" s="103" t="s">
        <v>362</v>
      </c>
      <c r="N8" s="103" t="s">
        <v>363</v>
      </c>
      <c r="O8" s="105">
        <v>46203</v>
      </c>
      <c r="P8" s="105">
        <v>46206</v>
      </c>
      <c r="Q8" s="105">
        <v>46207</v>
      </c>
      <c r="R8" s="105">
        <v>46207</v>
      </c>
      <c r="S8" s="105">
        <v>46213</v>
      </c>
      <c r="T8" s="105">
        <v>46214</v>
      </c>
      <c r="U8" s="105">
        <v>46211</v>
      </c>
      <c r="V8" s="105">
        <v>46220</v>
      </c>
      <c r="W8" s="105">
        <v>46220</v>
      </c>
      <c r="X8" s="105">
        <v>46214</v>
      </c>
      <c r="Y8" s="105">
        <v>46237</v>
      </c>
      <c r="Z8" s="105">
        <v>46237</v>
      </c>
      <c r="AA8" s="103" t="s">
        <v>368</v>
      </c>
      <c r="AB8" s="105">
        <v>46238</v>
      </c>
      <c r="AC8" s="105">
        <v>46239</v>
      </c>
      <c r="AD8" s="103" t="s">
        <v>365</v>
      </c>
      <c r="AE8" s="106" t="s">
        <v>366</v>
      </c>
    </row>
    <row r="9" spans="1:31" x14ac:dyDescent="0.25">
      <c r="A9" s="103" t="s">
        <v>15</v>
      </c>
      <c r="B9" s="104" t="s">
        <v>16</v>
      </c>
      <c r="C9" s="103" t="s">
        <v>369</v>
      </c>
      <c r="D9" s="103" t="s">
        <v>311</v>
      </c>
      <c r="E9" s="103">
        <v>26910</v>
      </c>
      <c r="F9" s="103" t="s">
        <v>312</v>
      </c>
      <c r="G9" s="103" t="s">
        <v>357</v>
      </c>
      <c r="H9" s="103" t="s">
        <v>358</v>
      </c>
      <c r="I9" s="103" t="s">
        <v>315</v>
      </c>
      <c r="J9" s="103" t="s">
        <v>359</v>
      </c>
      <c r="K9" s="103" t="s">
        <v>360</v>
      </c>
      <c r="L9" s="103" t="s">
        <v>361</v>
      </c>
      <c r="M9" s="103" t="s">
        <v>362</v>
      </c>
      <c r="N9" s="103" t="s">
        <v>363</v>
      </c>
      <c r="O9" s="105">
        <v>46203</v>
      </c>
      <c r="P9" s="105">
        <v>46206</v>
      </c>
      <c r="Q9" s="105">
        <v>46207</v>
      </c>
      <c r="R9" s="105">
        <v>46207</v>
      </c>
      <c r="S9" s="105">
        <v>46213</v>
      </c>
      <c r="T9" s="105">
        <v>46214</v>
      </c>
      <c r="U9" s="105">
        <v>46211</v>
      </c>
      <c r="V9" s="105">
        <v>46220</v>
      </c>
      <c r="W9" s="105">
        <v>46220</v>
      </c>
      <c r="X9" s="105">
        <v>46214</v>
      </c>
      <c r="Y9" s="105">
        <v>46237</v>
      </c>
      <c r="Z9" s="105">
        <v>46237</v>
      </c>
      <c r="AA9" s="103" t="s">
        <v>370</v>
      </c>
      <c r="AB9" s="105">
        <v>46238</v>
      </c>
      <c r="AC9" s="105">
        <v>46239</v>
      </c>
      <c r="AD9" s="103" t="s">
        <v>365</v>
      </c>
      <c r="AE9" s="106" t="s">
        <v>366</v>
      </c>
    </row>
    <row r="10" spans="1:31" x14ac:dyDescent="0.25">
      <c r="A10" s="103" t="s">
        <v>15</v>
      </c>
      <c r="B10" s="104" t="s">
        <v>16</v>
      </c>
      <c r="C10" s="103" t="s">
        <v>371</v>
      </c>
      <c r="D10" s="103" t="s">
        <v>311</v>
      </c>
      <c r="E10" s="103">
        <v>26460</v>
      </c>
      <c r="F10" s="103" t="s">
        <v>312</v>
      </c>
      <c r="G10" s="103" t="s">
        <v>357</v>
      </c>
      <c r="H10" s="103" t="s">
        <v>358</v>
      </c>
      <c r="I10" s="103" t="s">
        <v>315</v>
      </c>
      <c r="J10" s="103" t="s">
        <v>359</v>
      </c>
      <c r="K10" s="103" t="s">
        <v>360</v>
      </c>
      <c r="L10" s="103" t="s">
        <v>361</v>
      </c>
      <c r="M10" s="103" t="s">
        <v>362</v>
      </c>
      <c r="N10" s="103" t="s">
        <v>363</v>
      </c>
      <c r="O10" s="105">
        <v>46203</v>
      </c>
      <c r="P10" s="105">
        <v>46206</v>
      </c>
      <c r="Q10" s="105">
        <v>46207</v>
      </c>
      <c r="R10" s="105">
        <v>46207</v>
      </c>
      <c r="S10" s="105">
        <v>46213</v>
      </c>
      <c r="T10" s="105">
        <v>46214</v>
      </c>
      <c r="U10" s="105">
        <v>46211</v>
      </c>
      <c r="V10" s="105">
        <v>46220</v>
      </c>
      <c r="W10" s="105">
        <v>46220</v>
      </c>
      <c r="X10" s="105">
        <v>46214</v>
      </c>
      <c r="Y10" s="105">
        <v>46237</v>
      </c>
      <c r="Z10" s="105">
        <v>46237</v>
      </c>
      <c r="AA10" s="103" t="s">
        <v>372</v>
      </c>
      <c r="AB10" s="105">
        <v>46238</v>
      </c>
      <c r="AC10" s="105">
        <v>46239</v>
      </c>
      <c r="AD10" s="103" t="s">
        <v>365</v>
      </c>
      <c r="AE10" s="106" t="s">
        <v>366</v>
      </c>
    </row>
    <row r="11" spans="1:31" x14ac:dyDescent="0.25">
      <c r="A11" s="103" t="s">
        <v>21</v>
      </c>
      <c r="B11" s="104" t="s">
        <v>373</v>
      </c>
      <c r="C11" s="103" t="s">
        <v>374</v>
      </c>
      <c r="D11" s="103" t="s">
        <v>311</v>
      </c>
      <c r="E11" s="103">
        <v>15997</v>
      </c>
      <c r="F11" s="103" t="s">
        <v>312</v>
      </c>
      <c r="G11" s="103" t="s">
        <v>375</v>
      </c>
      <c r="H11" s="103" t="s">
        <v>376</v>
      </c>
      <c r="I11" s="103" t="s">
        <v>315</v>
      </c>
      <c r="J11" s="103" t="s">
        <v>377</v>
      </c>
      <c r="K11" s="103" t="s">
        <v>378</v>
      </c>
      <c r="L11" s="103" t="s">
        <v>379</v>
      </c>
      <c r="M11" s="103" t="s">
        <v>380</v>
      </c>
      <c r="N11" s="103" t="s">
        <v>381</v>
      </c>
      <c r="O11" s="105">
        <v>46226</v>
      </c>
      <c r="P11" s="105">
        <v>46222</v>
      </c>
      <c r="Q11" s="105">
        <v>46223</v>
      </c>
      <c r="R11" s="105">
        <v>46223</v>
      </c>
      <c r="S11" s="105">
        <v>46228</v>
      </c>
      <c r="T11" s="105">
        <v>46228</v>
      </c>
      <c r="U11" s="105">
        <v>46230</v>
      </c>
      <c r="V11" s="105">
        <v>46233</v>
      </c>
      <c r="W11" s="105">
        <v>46233</v>
      </c>
      <c r="X11" s="105">
        <v>46231</v>
      </c>
      <c r="Y11" s="105">
        <v>46237</v>
      </c>
      <c r="Z11" s="105">
        <v>46237</v>
      </c>
      <c r="AA11" s="103" t="s">
        <v>382</v>
      </c>
      <c r="AB11" s="105">
        <v>46238</v>
      </c>
      <c r="AC11" s="105">
        <v>46238</v>
      </c>
      <c r="AD11" s="103" t="s">
        <v>383</v>
      </c>
      <c r="AE11" s="106" t="s">
        <v>384</v>
      </c>
    </row>
    <row r="12" spans="1:31" x14ac:dyDescent="0.25">
      <c r="A12" s="103" t="s">
        <v>21</v>
      </c>
      <c r="B12" s="104" t="s">
        <v>373</v>
      </c>
      <c r="C12" s="103" t="s">
        <v>385</v>
      </c>
      <c r="D12" s="103" t="s">
        <v>311</v>
      </c>
      <c r="E12" s="103">
        <v>15906</v>
      </c>
      <c r="F12" s="103" t="s">
        <v>312</v>
      </c>
      <c r="G12" s="103" t="s">
        <v>375</v>
      </c>
      <c r="H12" s="103" t="s">
        <v>376</v>
      </c>
      <c r="I12" s="103" t="s">
        <v>315</v>
      </c>
      <c r="J12" s="103" t="s">
        <v>377</v>
      </c>
      <c r="K12" s="103" t="s">
        <v>378</v>
      </c>
      <c r="L12" s="103" t="s">
        <v>379</v>
      </c>
      <c r="M12" s="103" t="s">
        <v>380</v>
      </c>
      <c r="N12" s="103" t="s">
        <v>381</v>
      </c>
      <c r="O12" s="105">
        <v>46226</v>
      </c>
      <c r="P12" s="105">
        <v>46222</v>
      </c>
      <c r="Q12" s="105">
        <v>46223</v>
      </c>
      <c r="R12" s="105">
        <v>46223</v>
      </c>
      <c r="S12" s="105">
        <v>46228</v>
      </c>
      <c r="T12" s="105">
        <v>46228</v>
      </c>
      <c r="U12" s="105">
        <v>46230</v>
      </c>
      <c r="V12" s="105">
        <v>46233</v>
      </c>
      <c r="W12" s="105">
        <v>46233</v>
      </c>
      <c r="X12" s="105">
        <v>46231</v>
      </c>
      <c r="Y12" s="105">
        <v>46237</v>
      </c>
      <c r="Z12" s="105">
        <v>46237</v>
      </c>
      <c r="AA12" s="103" t="s">
        <v>386</v>
      </c>
      <c r="AB12" s="105">
        <v>46238</v>
      </c>
      <c r="AC12" s="105">
        <v>46238</v>
      </c>
      <c r="AD12" s="103" t="s">
        <v>383</v>
      </c>
      <c r="AE12" s="106" t="s">
        <v>384</v>
      </c>
    </row>
    <row r="13" spans="1:31" x14ac:dyDescent="0.25">
      <c r="A13" s="103" t="s">
        <v>21</v>
      </c>
      <c r="B13" s="104" t="s">
        <v>373</v>
      </c>
      <c r="C13" s="103" t="s">
        <v>387</v>
      </c>
      <c r="D13" s="103" t="s">
        <v>311</v>
      </c>
      <c r="E13" s="103">
        <v>15869</v>
      </c>
      <c r="F13" s="103" t="s">
        <v>312</v>
      </c>
      <c r="G13" s="103" t="s">
        <v>375</v>
      </c>
      <c r="H13" s="103" t="s">
        <v>376</v>
      </c>
      <c r="I13" s="103" t="s">
        <v>315</v>
      </c>
      <c r="J13" s="103" t="s">
        <v>377</v>
      </c>
      <c r="K13" s="103" t="s">
        <v>378</v>
      </c>
      <c r="L13" s="103" t="s">
        <v>379</v>
      </c>
      <c r="M13" s="103" t="s">
        <v>380</v>
      </c>
      <c r="N13" s="103" t="s">
        <v>381</v>
      </c>
      <c r="O13" s="105">
        <v>46226</v>
      </c>
      <c r="P13" s="105">
        <v>46222</v>
      </c>
      <c r="Q13" s="105">
        <v>46223</v>
      </c>
      <c r="R13" s="105">
        <v>46223</v>
      </c>
      <c r="S13" s="105">
        <v>46228</v>
      </c>
      <c r="T13" s="105">
        <v>46228</v>
      </c>
      <c r="U13" s="105">
        <v>46230</v>
      </c>
      <c r="V13" s="105">
        <v>46233</v>
      </c>
      <c r="W13" s="105">
        <v>46233</v>
      </c>
      <c r="X13" s="105">
        <v>46231</v>
      </c>
      <c r="Y13" s="105">
        <v>46237</v>
      </c>
      <c r="Z13" s="105">
        <v>46237</v>
      </c>
      <c r="AA13" s="103" t="s">
        <v>388</v>
      </c>
      <c r="AB13" s="105">
        <v>46238</v>
      </c>
      <c r="AC13" s="105">
        <v>46238</v>
      </c>
      <c r="AD13" s="103" t="s">
        <v>383</v>
      </c>
      <c r="AE13" s="106" t="s">
        <v>384</v>
      </c>
    </row>
    <row r="14" spans="1:31" x14ac:dyDescent="0.25">
      <c r="A14" s="103" t="s">
        <v>21</v>
      </c>
      <c r="B14" s="104" t="s">
        <v>373</v>
      </c>
      <c r="C14" s="103" t="s">
        <v>389</v>
      </c>
      <c r="D14" s="103" t="s">
        <v>311</v>
      </c>
      <c r="E14" s="103">
        <v>13615</v>
      </c>
      <c r="F14" s="103" t="s">
        <v>312</v>
      </c>
      <c r="G14" s="103" t="s">
        <v>375</v>
      </c>
      <c r="H14" s="103" t="s">
        <v>376</v>
      </c>
      <c r="I14" s="103" t="s">
        <v>315</v>
      </c>
      <c r="J14" s="103" t="s">
        <v>377</v>
      </c>
      <c r="K14" s="103" t="s">
        <v>378</v>
      </c>
      <c r="L14" s="103" t="s">
        <v>379</v>
      </c>
      <c r="M14" s="103" t="s">
        <v>380</v>
      </c>
      <c r="N14" s="103" t="s">
        <v>381</v>
      </c>
      <c r="O14" s="105">
        <v>46226</v>
      </c>
      <c r="P14" s="105">
        <v>46222</v>
      </c>
      <c r="Q14" s="105">
        <v>46223</v>
      </c>
      <c r="R14" s="105">
        <v>46223</v>
      </c>
      <c r="S14" s="105">
        <v>46228</v>
      </c>
      <c r="T14" s="105">
        <v>46228</v>
      </c>
      <c r="U14" s="105">
        <v>46230</v>
      </c>
      <c r="V14" s="105">
        <v>46233</v>
      </c>
      <c r="W14" s="105">
        <v>46233</v>
      </c>
      <c r="X14" s="105">
        <v>46231</v>
      </c>
      <c r="Y14" s="105">
        <v>46237</v>
      </c>
      <c r="Z14" s="105">
        <v>46237</v>
      </c>
      <c r="AA14" s="103" t="s">
        <v>390</v>
      </c>
      <c r="AB14" s="105">
        <v>46238</v>
      </c>
      <c r="AC14" s="105">
        <v>46239</v>
      </c>
      <c r="AD14" s="103" t="s">
        <v>383</v>
      </c>
      <c r="AE14" s="106" t="s">
        <v>384</v>
      </c>
    </row>
    <row r="15" spans="1:31" x14ac:dyDescent="0.25">
      <c r="A15" s="103" t="s">
        <v>391</v>
      </c>
      <c r="B15" s="104" t="s">
        <v>26</v>
      </c>
      <c r="C15" s="103" t="s">
        <v>392</v>
      </c>
      <c r="D15" s="103" t="s">
        <v>311</v>
      </c>
      <c r="E15" s="103">
        <v>26030</v>
      </c>
      <c r="F15" s="103" t="s">
        <v>312</v>
      </c>
      <c r="G15" s="103" t="s">
        <v>393</v>
      </c>
      <c r="H15" s="103">
        <v>20260520</v>
      </c>
      <c r="I15" s="103" t="s">
        <v>315</v>
      </c>
      <c r="J15" s="103" t="s">
        <v>394</v>
      </c>
      <c r="K15" s="103" t="s">
        <v>395</v>
      </c>
      <c r="L15" s="103" t="s">
        <v>379</v>
      </c>
      <c r="M15" s="103" t="s">
        <v>396</v>
      </c>
      <c r="N15" s="103" t="s">
        <v>397</v>
      </c>
      <c r="O15" s="105">
        <v>46226</v>
      </c>
      <c r="P15" s="105">
        <v>46210</v>
      </c>
      <c r="Q15" s="105">
        <v>46211</v>
      </c>
      <c r="R15" s="105">
        <v>46211</v>
      </c>
      <c r="S15" s="105">
        <v>46212</v>
      </c>
      <c r="T15" s="105">
        <v>46228</v>
      </c>
      <c r="U15" s="105">
        <v>46226</v>
      </c>
      <c r="V15" s="105">
        <v>46233</v>
      </c>
      <c r="W15" s="105">
        <v>46233</v>
      </c>
      <c r="X15" s="105">
        <v>46233</v>
      </c>
      <c r="Y15" s="105">
        <v>46239</v>
      </c>
      <c r="Z15" s="105">
        <v>46239</v>
      </c>
      <c r="AA15" s="103" t="s">
        <v>398</v>
      </c>
      <c r="AB15" s="105">
        <v>46240</v>
      </c>
      <c r="AC15" s="105">
        <v>46241</v>
      </c>
      <c r="AD15" s="103" t="s">
        <v>399</v>
      </c>
      <c r="AE15" s="106" t="s">
        <v>28</v>
      </c>
    </row>
    <row r="16" spans="1:31" x14ac:dyDescent="0.25">
      <c r="A16" s="103" t="s">
        <v>400</v>
      </c>
      <c r="B16" s="104" t="s">
        <v>30</v>
      </c>
      <c r="C16" s="103" t="s">
        <v>401</v>
      </c>
      <c r="D16" s="103" t="s">
        <v>311</v>
      </c>
      <c r="E16" s="103">
        <v>27820</v>
      </c>
      <c r="F16" s="103" t="s">
        <v>312</v>
      </c>
      <c r="G16" s="103" t="s">
        <v>313</v>
      </c>
      <c r="H16" s="103">
        <v>26003985</v>
      </c>
      <c r="I16" s="103" t="s">
        <v>315</v>
      </c>
      <c r="J16" s="103" t="s">
        <v>402</v>
      </c>
      <c r="K16" s="103" t="s">
        <v>403</v>
      </c>
      <c r="L16" s="103" t="s">
        <v>379</v>
      </c>
      <c r="M16" s="103" t="s">
        <v>404</v>
      </c>
      <c r="N16" s="103" t="s">
        <v>405</v>
      </c>
      <c r="O16" s="105">
        <v>46234</v>
      </c>
      <c r="P16" s="105">
        <v>46230</v>
      </c>
      <c r="Q16" s="105">
        <v>46231</v>
      </c>
      <c r="R16" s="105">
        <v>46232</v>
      </c>
      <c r="S16" s="105">
        <v>46232</v>
      </c>
      <c r="T16" s="105">
        <v>46239</v>
      </c>
      <c r="U16" s="105">
        <v>46234</v>
      </c>
      <c r="V16" s="105">
        <v>46241</v>
      </c>
      <c r="W16" s="105">
        <v>46241</v>
      </c>
      <c r="X16" s="105">
        <v>46239</v>
      </c>
      <c r="Y16" s="105">
        <v>46239</v>
      </c>
      <c r="Z16" s="105">
        <v>46239</v>
      </c>
      <c r="AA16" s="103" t="s">
        <v>406</v>
      </c>
      <c r="AB16" s="105">
        <v>46241</v>
      </c>
      <c r="AC16" s="105">
        <v>46241</v>
      </c>
      <c r="AD16" s="103" t="s">
        <v>407</v>
      </c>
      <c r="AE16" s="106" t="s">
        <v>32</v>
      </c>
    </row>
    <row r="17" spans="1:31" x14ac:dyDescent="0.25">
      <c r="A17" s="103" t="s">
        <v>34</v>
      </c>
      <c r="B17" s="104">
        <v>271578337</v>
      </c>
      <c r="C17" s="103" t="s">
        <v>408</v>
      </c>
      <c r="D17" s="103" t="s">
        <v>311</v>
      </c>
      <c r="E17" s="103">
        <v>26508.6</v>
      </c>
      <c r="F17" s="103" t="s">
        <v>312</v>
      </c>
      <c r="G17" s="103" t="s">
        <v>393</v>
      </c>
      <c r="H17" s="103">
        <v>208</v>
      </c>
      <c r="I17" s="103" t="s">
        <v>315</v>
      </c>
      <c r="J17" s="103" t="s">
        <v>409</v>
      </c>
      <c r="K17" s="103" t="s">
        <v>410</v>
      </c>
      <c r="L17" s="103" t="s">
        <v>411</v>
      </c>
      <c r="M17" s="103" t="s">
        <v>412</v>
      </c>
      <c r="N17" s="103" t="s">
        <v>413</v>
      </c>
      <c r="O17" s="105">
        <v>46182</v>
      </c>
      <c r="P17" s="105">
        <v>46200</v>
      </c>
      <c r="Q17" s="105">
        <v>46201</v>
      </c>
      <c r="R17" s="105">
        <v>46201</v>
      </c>
      <c r="S17" s="105">
        <v>46217</v>
      </c>
      <c r="T17" s="105">
        <v>46211</v>
      </c>
      <c r="U17" s="105">
        <v>46202</v>
      </c>
      <c r="V17" s="105">
        <v>46221</v>
      </c>
      <c r="W17" s="105">
        <v>46240</v>
      </c>
      <c r="X17" s="105">
        <v>46218</v>
      </c>
      <c r="Y17" s="105">
        <v>46230</v>
      </c>
      <c r="Z17" s="105">
        <v>46230</v>
      </c>
      <c r="AA17" s="103" t="s">
        <v>414</v>
      </c>
      <c r="AB17" s="105">
        <v>46230</v>
      </c>
      <c r="AC17" s="105">
        <v>46241</v>
      </c>
      <c r="AD17" s="103" t="s">
        <v>415</v>
      </c>
      <c r="AE17" s="106" t="s">
        <v>416</v>
      </c>
    </row>
    <row r="18" spans="1:31" x14ac:dyDescent="0.25">
      <c r="A18" s="103" t="s">
        <v>38</v>
      </c>
      <c r="B18" s="104" t="s">
        <v>417</v>
      </c>
      <c r="C18" s="103" t="s">
        <v>418</v>
      </c>
      <c r="D18" s="103" t="s">
        <v>311</v>
      </c>
      <c r="E18" s="103">
        <v>27000</v>
      </c>
      <c r="F18" s="103" t="s">
        <v>312</v>
      </c>
      <c r="G18" s="103" t="s">
        <v>393</v>
      </c>
      <c r="H18" s="103" t="s">
        <v>419</v>
      </c>
      <c r="I18" s="103" t="s">
        <v>315</v>
      </c>
      <c r="J18" s="103" t="s">
        <v>420</v>
      </c>
      <c r="K18" s="103" t="s">
        <v>421</v>
      </c>
      <c r="L18" s="103" t="s">
        <v>422</v>
      </c>
      <c r="M18" s="103" t="s">
        <v>423</v>
      </c>
      <c r="N18" s="103" t="s">
        <v>328</v>
      </c>
      <c r="O18" s="105">
        <v>46202</v>
      </c>
      <c r="P18" s="105">
        <v>46210</v>
      </c>
      <c r="Q18" s="105">
        <v>46211</v>
      </c>
      <c r="R18" s="105">
        <v>46211</v>
      </c>
      <c r="S18" s="105">
        <v>46211</v>
      </c>
      <c r="T18" s="105">
        <v>46219</v>
      </c>
      <c r="U18" s="105">
        <v>46217</v>
      </c>
      <c r="V18" s="105">
        <v>46225</v>
      </c>
      <c r="W18" s="105">
        <v>46225</v>
      </c>
      <c r="X18" s="105">
        <v>46218</v>
      </c>
      <c r="Y18" s="105">
        <v>46239</v>
      </c>
      <c r="Z18" s="105">
        <v>46239</v>
      </c>
      <c r="AA18" s="103" t="s">
        <v>424</v>
      </c>
      <c r="AB18" s="105">
        <v>46240</v>
      </c>
      <c r="AC18" s="105">
        <v>46245</v>
      </c>
      <c r="AD18" s="103" t="s">
        <v>322</v>
      </c>
      <c r="AE18" s="106" t="s">
        <v>425</v>
      </c>
    </row>
    <row r="19" spans="1:31" x14ac:dyDescent="0.25">
      <c r="A19" s="103" t="s">
        <v>40</v>
      </c>
      <c r="B19" s="104" t="s">
        <v>41</v>
      </c>
      <c r="C19" s="103" t="s">
        <v>426</v>
      </c>
      <c r="D19" s="103" t="s">
        <v>311</v>
      </c>
      <c r="E19" s="103">
        <v>25730</v>
      </c>
      <c r="F19" s="103" t="s">
        <v>312</v>
      </c>
      <c r="G19" s="103" t="s">
        <v>357</v>
      </c>
      <c r="H19" s="103" t="s">
        <v>427</v>
      </c>
      <c r="I19" s="103" t="s">
        <v>315</v>
      </c>
      <c r="J19" s="103" t="s">
        <v>428</v>
      </c>
      <c r="K19" s="103" t="s">
        <v>421</v>
      </c>
      <c r="L19" s="103" t="s">
        <v>361</v>
      </c>
      <c r="M19" s="103" t="s">
        <v>429</v>
      </c>
      <c r="N19" s="103" t="s">
        <v>363</v>
      </c>
      <c r="O19" s="105">
        <v>46203</v>
      </c>
      <c r="P19" s="105">
        <v>46206</v>
      </c>
      <c r="Q19" s="105">
        <v>46207</v>
      </c>
      <c r="R19" s="105">
        <v>46208</v>
      </c>
      <c r="S19" s="105">
        <v>46209</v>
      </c>
      <c r="T19" s="105">
        <v>46214</v>
      </c>
      <c r="U19" s="105">
        <v>46209</v>
      </c>
      <c r="V19" s="105">
        <v>46216</v>
      </c>
      <c r="W19" s="105">
        <v>46216</v>
      </c>
      <c r="X19" s="105">
        <v>46214</v>
      </c>
      <c r="Y19" s="105">
        <v>46239</v>
      </c>
      <c r="Z19" s="105">
        <v>46239</v>
      </c>
      <c r="AA19" s="103" t="s">
        <v>430</v>
      </c>
      <c r="AB19" s="105">
        <v>46240</v>
      </c>
      <c r="AC19" s="105">
        <v>46246</v>
      </c>
      <c r="AD19" s="103" t="s">
        <v>431</v>
      </c>
      <c r="AE19" s="106" t="s">
        <v>432</v>
      </c>
    </row>
    <row r="20" spans="1:31" x14ac:dyDescent="0.25">
      <c r="A20" s="103" t="s">
        <v>43</v>
      </c>
      <c r="B20" s="104" t="s">
        <v>44</v>
      </c>
      <c r="C20" s="103" t="s">
        <v>433</v>
      </c>
      <c r="D20" s="103" t="s">
        <v>311</v>
      </c>
      <c r="E20" s="103">
        <v>25602</v>
      </c>
      <c r="F20" s="103" t="s">
        <v>312</v>
      </c>
      <c r="G20" s="103" t="s">
        <v>393</v>
      </c>
      <c r="H20" s="103" t="s">
        <v>434</v>
      </c>
      <c r="I20" s="103" t="s">
        <v>315</v>
      </c>
      <c r="J20" s="103" t="s">
        <v>435</v>
      </c>
      <c r="K20" s="103" t="s">
        <v>436</v>
      </c>
      <c r="L20" s="103" t="s">
        <v>437</v>
      </c>
      <c r="M20" s="103" t="s">
        <v>438</v>
      </c>
      <c r="N20" s="103" t="s">
        <v>340</v>
      </c>
      <c r="O20" s="105">
        <v>46208</v>
      </c>
      <c r="P20" s="105">
        <v>46212</v>
      </c>
      <c r="Q20" s="105">
        <v>46214</v>
      </c>
      <c r="R20" s="105">
        <v>46216</v>
      </c>
      <c r="S20" s="105">
        <v>46217</v>
      </c>
      <c r="T20" s="105">
        <v>46240</v>
      </c>
      <c r="U20" s="105">
        <v>46217</v>
      </c>
      <c r="V20" s="105">
        <v>46245</v>
      </c>
      <c r="W20" s="105">
        <v>46245</v>
      </c>
      <c r="X20" s="105">
        <v>46218</v>
      </c>
      <c r="Y20" s="105">
        <v>46241</v>
      </c>
      <c r="Z20" s="105">
        <v>46241</v>
      </c>
      <c r="AA20" s="103" t="s">
        <v>439</v>
      </c>
      <c r="AB20" s="105">
        <v>46244</v>
      </c>
      <c r="AC20" s="105">
        <v>46246</v>
      </c>
      <c r="AD20" s="103" t="s">
        <v>431</v>
      </c>
      <c r="AE20" s="106" t="s">
        <v>440</v>
      </c>
    </row>
    <row r="21" spans="1:31" x14ac:dyDescent="0.25">
      <c r="A21" s="103" t="s">
        <v>46</v>
      </c>
      <c r="B21" s="104" t="s">
        <v>47</v>
      </c>
      <c r="C21" s="103" t="s">
        <v>441</v>
      </c>
      <c r="D21" s="103" t="s">
        <v>311</v>
      </c>
      <c r="E21" s="103">
        <v>25700</v>
      </c>
      <c r="F21" s="103" t="s">
        <v>312</v>
      </c>
      <c r="G21" s="103" t="s">
        <v>393</v>
      </c>
      <c r="H21" s="103" t="s">
        <v>442</v>
      </c>
      <c r="I21" s="103" t="s">
        <v>315</v>
      </c>
      <c r="J21" s="103" t="s">
        <v>443</v>
      </c>
      <c r="K21" s="103" t="s">
        <v>444</v>
      </c>
      <c r="L21" s="103" t="s">
        <v>445</v>
      </c>
      <c r="M21" s="103" t="s">
        <v>429</v>
      </c>
      <c r="N21" s="103" t="s">
        <v>446</v>
      </c>
      <c r="O21" s="105">
        <v>46207</v>
      </c>
      <c r="P21" s="105">
        <v>46189</v>
      </c>
      <c r="Q21" s="105">
        <v>46190</v>
      </c>
      <c r="R21" s="105">
        <v>46191</v>
      </c>
      <c r="S21" s="105">
        <v>46196</v>
      </c>
      <c r="T21" s="105">
        <v>46218</v>
      </c>
      <c r="U21" s="105">
        <v>46209</v>
      </c>
      <c r="V21" s="105">
        <v>46221</v>
      </c>
      <c r="W21" s="105">
        <v>46239</v>
      </c>
      <c r="X21" s="105">
        <v>46218</v>
      </c>
      <c r="Y21" s="105">
        <v>46230</v>
      </c>
      <c r="Z21" s="105">
        <v>46230</v>
      </c>
      <c r="AA21" s="103" t="s">
        <v>447</v>
      </c>
      <c r="AB21" s="105">
        <v>46230</v>
      </c>
      <c r="AC21" s="105">
        <v>46241</v>
      </c>
      <c r="AD21" s="103" t="s">
        <v>415</v>
      </c>
      <c r="AE21" s="106" t="s">
        <v>448</v>
      </c>
    </row>
    <row r="22" spans="1:31" x14ac:dyDescent="0.25">
      <c r="A22" s="103" t="s">
        <v>255</v>
      </c>
      <c r="B22" s="104" t="s">
        <v>449</v>
      </c>
      <c r="C22" s="103" t="s">
        <v>450</v>
      </c>
      <c r="D22" s="103" t="s">
        <v>311</v>
      </c>
      <c r="E22" s="103">
        <v>25021</v>
      </c>
      <c r="F22" s="103" t="s">
        <v>312</v>
      </c>
      <c r="G22" s="103" t="s">
        <v>393</v>
      </c>
      <c r="H22" s="103" t="s">
        <v>451</v>
      </c>
      <c r="I22" s="103" t="s">
        <v>315</v>
      </c>
      <c r="J22" s="103" t="s">
        <v>435</v>
      </c>
      <c r="K22" s="103" t="s">
        <v>436</v>
      </c>
      <c r="L22" s="103" t="s">
        <v>318</v>
      </c>
      <c r="M22" s="103" t="s">
        <v>438</v>
      </c>
      <c r="N22" s="103" t="s">
        <v>452</v>
      </c>
      <c r="O22" s="105">
        <v>46208</v>
      </c>
      <c r="P22" s="105">
        <v>46210</v>
      </c>
      <c r="Q22" s="105">
        <v>46214</v>
      </c>
      <c r="R22" s="105">
        <v>46218</v>
      </c>
      <c r="S22" s="105">
        <v>46219</v>
      </c>
      <c r="T22" s="105">
        <v>46237</v>
      </c>
      <c r="U22" s="105">
        <v>46220</v>
      </c>
      <c r="V22" s="105">
        <v>46238</v>
      </c>
      <c r="W22" s="105">
        <v>46238</v>
      </c>
      <c r="X22" s="105">
        <v>46237</v>
      </c>
      <c r="Y22" s="105">
        <v>46245</v>
      </c>
      <c r="Z22" s="105">
        <v>46245</v>
      </c>
      <c r="AA22" s="103" t="s">
        <v>453</v>
      </c>
      <c r="AB22" s="105">
        <v>46246</v>
      </c>
      <c r="AC22" s="105">
        <v>46246</v>
      </c>
      <c r="AD22" s="103" t="s">
        <v>454</v>
      </c>
      <c r="AE22" s="106" t="s">
        <v>455</v>
      </c>
    </row>
    <row r="23" spans="1:31" x14ac:dyDescent="0.25">
      <c r="A23" s="103" t="s">
        <v>50</v>
      </c>
      <c r="B23" s="104" t="s">
        <v>51</v>
      </c>
      <c r="C23" s="103" t="s">
        <v>456</v>
      </c>
      <c r="D23" s="103" t="s">
        <v>311</v>
      </c>
      <c r="E23" s="103">
        <v>16800</v>
      </c>
      <c r="F23" s="103" t="s">
        <v>312</v>
      </c>
      <c r="G23" s="103" t="s">
        <v>393</v>
      </c>
      <c r="H23" s="103" t="s">
        <v>457</v>
      </c>
      <c r="I23" s="103" t="s">
        <v>315</v>
      </c>
      <c r="J23" s="103" t="s">
        <v>458</v>
      </c>
      <c r="K23" s="103" t="s">
        <v>421</v>
      </c>
      <c r="L23" s="103" t="s">
        <v>459</v>
      </c>
      <c r="M23" s="103" t="s">
        <v>460</v>
      </c>
      <c r="N23" s="103" t="s">
        <v>340</v>
      </c>
      <c r="O23" s="105">
        <v>46217</v>
      </c>
      <c r="P23" s="105">
        <v>46211</v>
      </c>
      <c r="Q23" s="105">
        <v>46212</v>
      </c>
      <c r="R23" s="105">
        <v>46218</v>
      </c>
      <c r="S23" s="105">
        <v>46220</v>
      </c>
      <c r="T23" s="105">
        <v>46220</v>
      </c>
      <c r="U23" s="105">
        <v>46218</v>
      </c>
      <c r="V23" s="105">
        <v>46220</v>
      </c>
      <c r="W23" s="105">
        <v>46223</v>
      </c>
      <c r="X23" s="105">
        <v>46220</v>
      </c>
      <c r="Y23" s="105">
        <v>46245</v>
      </c>
      <c r="Z23" s="105">
        <v>46245</v>
      </c>
      <c r="AA23" s="103" t="s">
        <v>461</v>
      </c>
      <c r="AB23" s="105">
        <v>46246</v>
      </c>
      <c r="AC23" s="105">
        <v>46246</v>
      </c>
      <c r="AD23" s="103" t="s">
        <v>365</v>
      </c>
      <c r="AE23" s="106" t="s">
        <v>462</v>
      </c>
    </row>
    <row r="24" spans="1:31" x14ac:dyDescent="0.25">
      <c r="A24" s="103" t="s">
        <v>53</v>
      </c>
      <c r="B24" s="104" t="s">
        <v>54</v>
      </c>
      <c r="C24" s="103" t="s">
        <v>463</v>
      </c>
      <c r="D24" s="103" t="s">
        <v>311</v>
      </c>
      <c r="E24" s="103">
        <v>24965.38</v>
      </c>
      <c r="F24" s="103" t="s">
        <v>312</v>
      </c>
      <c r="G24" s="103" t="s">
        <v>357</v>
      </c>
      <c r="H24" s="103" t="s">
        <v>464</v>
      </c>
      <c r="I24" s="103" t="s">
        <v>315</v>
      </c>
      <c r="J24" s="103" t="s">
        <v>465</v>
      </c>
      <c r="K24" s="103" t="s">
        <v>360</v>
      </c>
      <c r="L24" s="103" t="s">
        <v>437</v>
      </c>
      <c r="M24" s="103" t="s">
        <v>466</v>
      </c>
      <c r="N24" s="103" t="s">
        <v>467</v>
      </c>
      <c r="O24" s="105">
        <v>46198</v>
      </c>
      <c r="P24" s="105">
        <v>46209</v>
      </c>
      <c r="Q24" s="105">
        <v>46210</v>
      </c>
      <c r="R24" s="105">
        <v>46213</v>
      </c>
      <c r="S24" s="105">
        <v>46215</v>
      </c>
      <c r="T24" s="105">
        <v>46246</v>
      </c>
      <c r="U24" s="105">
        <v>46217</v>
      </c>
      <c r="V24" s="105">
        <v>46247</v>
      </c>
      <c r="W24" s="105">
        <v>46247</v>
      </c>
      <c r="X24" s="105">
        <v>46218</v>
      </c>
      <c r="Y24" s="105">
        <v>46245</v>
      </c>
      <c r="Z24" s="105">
        <v>46245</v>
      </c>
      <c r="AA24" s="103" t="s">
        <v>468</v>
      </c>
      <c r="AB24" s="105">
        <v>46246</v>
      </c>
      <c r="AC24" s="105">
        <v>46247</v>
      </c>
      <c r="AD24" s="103" t="s">
        <v>469</v>
      </c>
      <c r="AE24" s="106" t="s">
        <v>56</v>
      </c>
    </row>
    <row r="25" spans="1:31" x14ac:dyDescent="0.25">
      <c r="A25" s="103" t="s">
        <v>53</v>
      </c>
      <c r="B25" s="104" t="s">
        <v>54</v>
      </c>
      <c r="C25" s="103" t="s">
        <v>470</v>
      </c>
      <c r="D25" s="103" t="s">
        <v>311</v>
      </c>
      <c r="E25" s="103">
        <v>25274.32</v>
      </c>
      <c r="F25" s="103" t="s">
        <v>312</v>
      </c>
      <c r="G25" s="103" t="s">
        <v>357</v>
      </c>
      <c r="H25" s="103" t="s">
        <v>464</v>
      </c>
      <c r="I25" s="103" t="s">
        <v>315</v>
      </c>
      <c r="J25" s="103" t="s">
        <v>465</v>
      </c>
      <c r="K25" s="103" t="s">
        <v>360</v>
      </c>
      <c r="L25" s="103" t="s">
        <v>437</v>
      </c>
      <c r="M25" s="103" t="s">
        <v>466</v>
      </c>
      <c r="N25" s="103" t="s">
        <v>467</v>
      </c>
      <c r="O25" s="105">
        <v>46198</v>
      </c>
      <c r="P25" s="105">
        <v>46209</v>
      </c>
      <c r="Q25" s="105">
        <v>46210</v>
      </c>
      <c r="R25" s="105">
        <v>46213</v>
      </c>
      <c r="S25" s="105">
        <v>46215</v>
      </c>
      <c r="T25" s="105">
        <v>46246</v>
      </c>
      <c r="U25" s="105">
        <v>46217</v>
      </c>
      <c r="V25" s="105">
        <v>46247</v>
      </c>
      <c r="W25" s="105">
        <v>46247</v>
      </c>
      <c r="X25" s="105">
        <v>46218</v>
      </c>
      <c r="Y25" s="105">
        <v>46245</v>
      </c>
      <c r="Z25" s="105">
        <v>46245</v>
      </c>
      <c r="AA25" s="103" t="s">
        <v>471</v>
      </c>
      <c r="AB25" s="105">
        <v>46246</v>
      </c>
      <c r="AC25" s="105">
        <v>46247</v>
      </c>
      <c r="AD25" s="103" t="s">
        <v>469</v>
      </c>
      <c r="AE25" s="106" t="s">
        <v>56</v>
      </c>
    </row>
    <row r="26" spans="1:31" x14ac:dyDescent="0.25">
      <c r="A26" s="103" t="s">
        <v>57</v>
      </c>
      <c r="B26" s="104" t="s">
        <v>58</v>
      </c>
      <c r="C26" s="103" t="s">
        <v>472</v>
      </c>
      <c r="D26" s="103" t="s">
        <v>311</v>
      </c>
      <c r="E26" s="103">
        <v>24320</v>
      </c>
      <c r="F26" s="103" t="s">
        <v>312</v>
      </c>
      <c r="G26" s="103" t="s">
        <v>357</v>
      </c>
      <c r="H26" s="103">
        <v>20260605</v>
      </c>
      <c r="I26" s="103" t="s">
        <v>315</v>
      </c>
      <c r="J26" s="103" t="s">
        <v>473</v>
      </c>
      <c r="K26" s="103" t="s">
        <v>360</v>
      </c>
      <c r="L26" s="103" t="s">
        <v>437</v>
      </c>
      <c r="M26" s="103" t="s">
        <v>474</v>
      </c>
      <c r="N26" s="103" t="s">
        <v>340</v>
      </c>
      <c r="O26" s="105">
        <v>46199</v>
      </c>
      <c r="P26" s="105">
        <v>46212</v>
      </c>
      <c r="Q26" s="105">
        <v>46214</v>
      </c>
      <c r="R26" s="105">
        <v>46218</v>
      </c>
      <c r="S26" s="105">
        <v>46220</v>
      </c>
      <c r="T26" s="105">
        <v>46234</v>
      </c>
      <c r="U26" s="105">
        <v>46221</v>
      </c>
      <c r="V26" s="105">
        <v>46238</v>
      </c>
      <c r="W26" s="105">
        <v>46247</v>
      </c>
      <c r="X26" s="105">
        <v>46234</v>
      </c>
      <c r="Y26" s="105">
        <v>46245</v>
      </c>
      <c r="Z26" s="105">
        <v>46245</v>
      </c>
      <c r="AA26" s="103" t="s">
        <v>475</v>
      </c>
      <c r="AB26" s="105">
        <v>46246</v>
      </c>
      <c r="AC26" s="105">
        <v>46247</v>
      </c>
      <c r="AD26" s="103" t="s">
        <v>476</v>
      </c>
      <c r="AE26" s="106" t="s">
        <v>477</v>
      </c>
    </row>
    <row r="27" spans="1:31" x14ac:dyDescent="0.25">
      <c r="A27" s="103" t="s">
        <v>60</v>
      </c>
      <c r="B27" s="104" t="s">
        <v>61</v>
      </c>
      <c r="C27" s="103" t="s">
        <v>478</v>
      </c>
      <c r="D27" s="103" t="s">
        <v>311</v>
      </c>
      <c r="E27" s="103">
        <v>25872</v>
      </c>
      <c r="F27" s="103" t="s">
        <v>312</v>
      </c>
      <c r="G27" s="103" t="s">
        <v>393</v>
      </c>
      <c r="H27" s="103" t="s">
        <v>479</v>
      </c>
      <c r="I27" s="103" t="s">
        <v>315</v>
      </c>
      <c r="J27" s="103" t="s">
        <v>435</v>
      </c>
      <c r="K27" s="103" t="s">
        <v>436</v>
      </c>
      <c r="L27" s="103" t="s">
        <v>480</v>
      </c>
      <c r="M27" s="103" t="s">
        <v>438</v>
      </c>
      <c r="N27" s="103" t="s">
        <v>340</v>
      </c>
      <c r="O27" s="105">
        <v>46208</v>
      </c>
      <c r="P27" s="105">
        <v>46212</v>
      </c>
      <c r="Q27" s="105">
        <v>46214</v>
      </c>
      <c r="R27" s="105">
        <v>46219</v>
      </c>
      <c r="S27" s="105">
        <v>46219</v>
      </c>
      <c r="T27" s="105">
        <v>46227</v>
      </c>
      <c r="U27" s="105">
        <v>46221</v>
      </c>
      <c r="V27" s="105">
        <v>46228</v>
      </c>
      <c r="W27" s="105">
        <v>46230</v>
      </c>
      <c r="X27" s="105">
        <v>46227</v>
      </c>
      <c r="Y27" s="105">
        <v>46245</v>
      </c>
      <c r="Z27" s="105">
        <v>46245</v>
      </c>
      <c r="AA27" s="103" t="s">
        <v>481</v>
      </c>
      <c r="AB27" s="105">
        <v>46246</v>
      </c>
      <c r="AC27" s="105">
        <v>46246</v>
      </c>
      <c r="AD27" s="103" t="s">
        <v>407</v>
      </c>
      <c r="AE27" s="106" t="s">
        <v>482</v>
      </c>
    </row>
    <row r="28" spans="1:31" x14ac:dyDescent="0.25">
      <c r="A28" s="103" t="s">
        <v>63</v>
      </c>
      <c r="B28" s="104" t="s">
        <v>64</v>
      </c>
      <c r="C28" s="103" t="s">
        <v>483</v>
      </c>
      <c r="D28" s="103" t="s">
        <v>311</v>
      </c>
      <c r="E28" s="103">
        <v>25640</v>
      </c>
      <c r="F28" s="103" t="s">
        <v>312</v>
      </c>
      <c r="G28" s="103" t="s">
        <v>393</v>
      </c>
      <c r="H28" s="103" t="s">
        <v>484</v>
      </c>
      <c r="I28" s="103" t="s">
        <v>315</v>
      </c>
      <c r="J28" s="103" t="s">
        <v>485</v>
      </c>
      <c r="K28" s="103" t="s">
        <v>421</v>
      </c>
      <c r="L28" s="103" t="s">
        <v>486</v>
      </c>
      <c r="M28" s="103" t="s">
        <v>487</v>
      </c>
      <c r="N28" s="103" t="s">
        <v>452</v>
      </c>
      <c r="O28" s="105">
        <v>46209</v>
      </c>
      <c r="P28" s="105">
        <v>46209</v>
      </c>
      <c r="Q28" s="105">
        <v>46216</v>
      </c>
      <c r="R28" s="105">
        <v>46217</v>
      </c>
      <c r="S28" s="105">
        <v>46218</v>
      </c>
      <c r="T28" s="105">
        <v>46238</v>
      </c>
      <c r="U28" s="105">
        <v>46220</v>
      </c>
      <c r="V28" s="105">
        <v>46240</v>
      </c>
      <c r="W28" s="105">
        <v>46240</v>
      </c>
      <c r="X28" s="105">
        <v>46238</v>
      </c>
      <c r="Y28" s="105">
        <v>46240</v>
      </c>
      <c r="Z28" s="105">
        <v>46240</v>
      </c>
      <c r="AA28" s="103" t="s">
        <v>488</v>
      </c>
      <c r="AB28" s="105">
        <v>46241</v>
      </c>
      <c r="AC28" s="105">
        <v>46244</v>
      </c>
      <c r="AD28" s="103" t="s">
        <v>489</v>
      </c>
      <c r="AE28" s="106" t="s">
        <v>490</v>
      </c>
    </row>
    <row r="29" spans="1:31" x14ac:dyDescent="0.25">
      <c r="A29" s="103" t="s">
        <v>257</v>
      </c>
      <c r="B29" s="104" t="s">
        <v>258</v>
      </c>
      <c r="C29" s="103" t="s">
        <v>491</v>
      </c>
      <c r="D29" s="103" t="s">
        <v>311</v>
      </c>
      <c r="E29" s="103">
        <v>12373.54</v>
      </c>
      <c r="F29" s="103" t="s">
        <v>312</v>
      </c>
      <c r="G29" s="103" t="s">
        <v>375</v>
      </c>
      <c r="H29" s="103" t="s">
        <v>492</v>
      </c>
      <c r="I29" s="103" t="s">
        <v>315</v>
      </c>
      <c r="J29" s="103" t="s">
        <v>493</v>
      </c>
      <c r="K29" s="103" t="s">
        <v>378</v>
      </c>
      <c r="L29" s="103" t="s">
        <v>445</v>
      </c>
      <c r="M29" s="103" t="s">
        <v>380</v>
      </c>
      <c r="N29" s="103" t="s">
        <v>494</v>
      </c>
      <c r="O29" s="105">
        <v>46236</v>
      </c>
      <c r="P29" s="105">
        <v>46219</v>
      </c>
      <c r="Q29" s="105">
        <v>46220</v>
      </c>
      <c r="R29" s="105">
        <v>46221</v>
      </c>
      <c r="S29" s="105">
        <v>46224</v>
      </c>
      <c r="T29" s="105">
        <v>46241</v>
      </c>
      <c r="U29" s="105">
        <v>46240</v>
      </c>
      <c r="V29" s="105">
        <v>46249</v>
      </c>
      <c r="W29" s="105">
        <v>46251</v>
      </c>
      <c r="X29" s="105">
        <v>46241</v>
      </c>
      <c r="Y29" s="105">
        <v>46246</v>
      </c>
      <c r="Z29" s="105">
        <v>46246</v>
      </c>
      <c r="AA29" s="103" t="s">
        <v>495</v>
      </c>
      <c r="AB29" s="105">
        <v>46247</v>
      </c>
      <c r="AC29" s="105">
        <v>46251</v>
      </c>
      <c r="AD29" s="103" t="s">
        <v>496</v>
      </c>
      <c r="AE29" s="106" t="s">
        <v>497</v>
      </c>
    </row>
    <row r="30" spans="1:31" x14ac:dyDescent="0.25">
      <c r="A30" s="103" t="s">
        <v>498</v>
      </c>
      <c r="B30" s="104" t="s">
        <v>67</v>
      </c>
      <c r="C30" s="103" t="s">
        <v>499</v>
      </c>
      <c r="D30" s="103" t="s">
        <v>311</v>
      </c>
      <c r="E30" s="103">
        <v>18600.5</v>
      </c>
      <c r="F30" s="103" t="s">
        <v>312</v>
      </c>
      <c r="G30" s="103" t="s">
        <v>500</v>
      </c>
      <c r="H30" s="103">
        <v>2708900753</v>
      </c>
      <c r="I30" s="103" t="s">
        <v>315</v>
      </c>
      <c r="J30" s="103" t="s">
        <v>501</v>
      </c>
      <c r="K30" s="103" t="s">
        <v>502</v>
      </c>
      <c r="L30" s="103" t="s">
        <v>503</v>
      </c>
      <c r="M30" s="103" t="s">
        <v>504</v>
      </c>
      <c r="N30" s="103" t="s">
        <v>505</v>
      </c>
      <c r="O30" s="105">
        <v>46220</v>
      </c>
      <c r="P30" s="105">
        <v>46229</v>
      </c>
      <c r="Q30" s="105">
        <v>46230</v>
      </c>
      <c r="R30" s="105">
        <v>46228</v>
      </c>
      <c r="S30" s="105">
        <v>46230</v>
      </c>
      <c r="T30" s="105">
        <v>46247</v>
      </c>
      <c r="U30" s="105">
        <v>46231</v>
      </c>
      <c r="V30" s="105">
        <v>46249</v>
      </c>
      <c r="W30" s="105">
        <v>46249</v>
      </c>
      <c r="X30" s="105">
        <v>46239</v>
      </c>
      <c r="Y30" s="105">
        <v>46248</v>
      </c>
      <c r="Z30" s="105">
        <v>46248</v>
      </c>
      <c r="AA30" s="103" t="s">
        <v>506</v>
      </c>
      <c r="AB30" s="105">
        <v>46248</v>
      </c>
      <c r="AC30" s="105">
        <v>46251</v>
      </c>
      <c r="AD30" s="103" t="s">
        <v>476</v>
      </c>
      <c r="AE30" s="106" t="s">
        <v>69</v>
      </c>
    </row>
    <row r="31" spans="1:31" x14ac:dyDescent="0.25">
      <c r="A31" s="103" t="s">
        <v>498</v>
      </c>
      <c r="B31" s="104" t="s">
        <v>67</v>
      </c>
      <c r="C31" s="103" t="s">
        <v>507</v>
      </c>
      <c r="D31" s="103" t="s">
        <v>311</v>
      </c>
      <c r="E31" s="103">
        <v>17262.4</v>
      </c>
      <c r="F31" s="103" t="s">
        <v>312</v>
      </c>
      <c r="G31" s="103" t="s">
        <v>500</v>
      </c>
      <c r="H31" s="103">
        <v>2708900700</v>
      </c>
      <c r="I31" s="103" t="s">
        <v>315</v>
      </c>
      <c r="J31" s="103" t="s">
        <v>501</v>
      </c>
      <c r="K31" s="103" t="s">
        <v>502</v>
      </c>
      <c r="L31" s="103" t="s">
        <v>503</v>
      </c>
      <c r="M31" s="103" t="s">
        <v>504</v>
      </c>
      <c r="N31" s="103" t="s">
        <v>505</v>
      </c>
      <c r="O31" s="105">
        <v>46220</v>
      </c>
      <c r="P31" s="105">
        <v>46229</v>
      </c>
      <c r="Q31" s="105">
        <v>46230</v>
      </c>
      <c r="R31" s="105">
        <v>46228</v>
      </c>
      <c r="S31" s="105">
        <v>46230</v>
      </c>
      <c r="T31" s="105">
        <v>46247</v>
      </c>
      <c r="U31" s="105">
        <v>46231</v>
      </c>
      <c r="V31" s="105">
        <v>46249</v>
      </c>
      <c r="W31" s="105">
        <v>46249</v>
      </c>
      <c r="X31" s="105">
        <v>46239</v>
      </c>
      <c r="Y31" s="105">
        <v>46248</v>
      </c>
      <c r="Z31" s="105">
        <v>46248</v>
      </c>
      <c r="AA31" s="103" t="s">
        <v>508</v>
      </c>
      <c r="AB31" s="105">
        <v>46248</v>
      </c>
      <c r="AC31" s="105">
        <v>46254</v>
      </c>
      <c r="AD31" s="103" t="s">
        <v>476</v>
      </c>
      <c r="AE31" s="106" t="s">
        <v>69</v>
      </c>
    </row>
    <row r="32" spans="1:31" x14ac:dyDescent="0.25">
      <c r="A32" s="103" t="s">
        <v>70</v>
      </c>
      <c r="B32" s="104" t="s">
        <v>71</v>
      </c>
      <c r="C32" s="103" t="s">
        <v>509</v>
      </c>
      <c r="D32" s="103" t="s">
        <v>311</v>
      </c>
      <c r="E32" s="103">
        <v>25760</v>
      </c>
      <c r="F32" s="103" t="s">
        <v>312</v>
      </c>
      <c r="G32" s="103" t="s">
        <v>393</v>
      </c>
      <c r="H32" s="103" t="s">
        <v>510</v>
      </c>
      <c r="I32" s="103" t="s">
        <v>315</v>
      </c>
      <c r="J32" s="103" t="s">
        <v>428</v>
      </c>
      <c r="K32" s="103" t="s">
        <v>360</v>
      </c>
      <c r="L32" s="103" t="s">
        <v>361</v>
      </c>
      <c r="M32" s="103" t="s">
        <v>511</v>
      </c>
      <c r="N32" s="103" t="s">
        <v>512</v>
      </c>
      <c r="O32" s="105">
        <v>46223</v>
      </c>
      <c r="P32" s="105">
        <v>46220</v>
      </c>
      <c r="Q32" s="105">
        <v>46224</v>
      </c>
      <c r="R32" s="105">
        <v>46225</v>
      </c>
      <c r="S32" s="105">
        <v>46226</v>
      </c>
      <c r="T32" s="105">
        <v>46227</v>
      </c>
      <c r="U32" s="105">
        <v>46224</v>
      </c>
      <c r="V32" s="105">
        <v>46230</v>
      </c>
      <c r="W32" s="105">
        <v>46230</v>
      </c>
      <c r="X32" s="105">
        <v>46227</v>
      </c>
      <c r="Y32" s="105">
        <v>46248</v>
      </c>
      <c r="Z32" s="105">
        <v>46248</v>
      </c>
      <c r="AA32" s="103" t="s">
        <v>513</v>
      </c>
      <c r="AB32" s="105">
        <v>46248</v>
      </c>
      <c r="AC32" s="105">
        <v>46252</v>
      </c>
      <c r="AD32" s="103" t="s">
        <v>514</v>
      </c>
      <c r="AE32" s="106" t="s">
        <v>73</v>
      </c>
    </row>
    <row r="33" spans="1:31" x14ac:dyDescent="0.25">
      <c r="A33" s="103" t="s">
        <v>515</v>
      </c>
      <c r="B33" s="104" t="s">
        <v>516</v>
      </c>
      <c r="C33" s="103" t="s">
        <v>517</v>
      </c>
      <c r="D33" s="103" t="s">
        <v>311</v>
      </c>
      <c r="E33" s="103">
        <v>26540</v>
      </c>
      <c r="F33" s="103" t="s">
        <v>312</v>
      </c>
      <c r="G33" s="103" t="s">
        <v>393</v>
      </c>
      <c r="H33" s="103" t="s">
        <v>518</v>
      </c>
      <c r="I33" s="103" t="s">
        <v>315</v>
      </c>
      <c r="J33" s="103" t="s">
        <v>519</v>
      </c>
      <c r="K33" s="103" t="s">
        <v>360</v>
      </c>
      <c r="L33" s="103" t="s">
        <v>318</v>
      </c>
      <c r="M33" s="103" t="s">
        <v>520</v>
      </c>
      <c r="N33" s="103" t="s">
        <v>452</v>
      </c>
      <c r="O33" s="105">
        <v>46211</v>
      </c>
      <c r="P33" s="105">
        <v>46211</v>
      </c>
      <c r="Q33" s="105">
        <v>46214</v>
      </c>
      <c r="R33" s="105">
        <v>46218</v>
      </c>
      <c r="S33" s="105">
        <v>46219</v>
      </c>
      <c r="T33" s="105">
        <v>46237</v>
      </c>
      <c r="U33" s="105">
        <v>46221</v>
      </c>
      <c r="V33" s="105">
        <v>46238</v>
      </c>
      <c r="W33" s="105">
        <v>46239</v>
      </c>
      <c r="X33" s="105">
        <v>46237</v>
      </c>
      <c r="Y33" s="105">
        <v>46241</v>
      </c>
      <c r="Z33" s="105">
        <v>46241</v>
      </c>
      <c r="AA33" s="103" t="s">
        <v>521</v>
      </c>
      <c r="AB33" s="105">
        <v>46244</v>
      </c>
      <c r="AC33" s="105">
        <v>46244</v>
      </c>
      <c r="AD33" s="103" t="s">
        <v>383</v>
      </c>
      <c r="AE33" s="106" t="s">
        <v>522</v>
      </c>
    </row>
    <row r="34" spans="1:31" x14ac:dyDescent="0.25">
      <c r="A34" s="103" t="s">
        <v>74</v>
      </c>
      <c r="B34" s="104" t="s">
        <v>75</v>
      </c>
      <c r="C34" s="103" t="s">
        <v>523</v>
      </c>
      <c r="D34" s="103" t="s">
        <v>311</v>
      </c>
      <c r="E34" s="103">
        <v>26280</v>
      </c>
      <c r="F34" s="103" t="s">
        <v>312</v>
      </c>
      <c r="G34" s="103" t="s">
        <v>357</v>
      </c>
      <c r="H34" s="103" t="s">
        <v>524</v>
      </c>
      <c r="I34" s="103" t="s">
        <v>315</v>
      </c>
      <c r="J34" s="103" t="s">
        <v>428</v>
      </c>
      <c r="K34" s="103" t="s">
        <v>360</v>
      </c>
      <c r="L34" s="103" t="s">
        <v>361</v>
      </c>
      <c r="M34" s="103" t="s">
        <v>511</v>
      </c>
      <c r="N34" s="103" t="s">
        <v>525</v>
      </c>
      <c r="O34" s="105">
        <v>46212</v>
      </c>
      <c r="P34" s="105">
        <v>46222</v>
      </c>
      <c r="Q34" s="105">
        <v>46223</v>
      </c>
      <c r="R34" s="105">
        <v>46227</v>
      </c>
      <c r="S34" s="105">
        <v>46231</v>
      </c>
      <c r="T34" s="105">
        <v>46241</v>
      </c>
      <c r="U34" s="105">
        <v>46237</v>
      </c>
      <c r="V34" s="105">
        <v>46246</v>
      </c>
      <c r="W34" s="105">
        <v>46248</v>
      </c>
      <c r="X34" s="105">
        <v>46241</v>
      </c>
      <c r="Y34" s="105">
        <v>46258</v>
      </c>
      <c r="Z34" s="105">
        <v>46258</v>
      </c>
      <c r="AA34" s="103" t="s">
        <v>526</v>
      </c>
      <c r="AB34" s="105">
        <v>46258</v>
      </c>
      <c r="AC34" s="105">
        <v>46261</v>
      </c>
      <c r="AD34" s="103" t="s">
        <v>527</v>
      </c>
      <c r="AE34" s="106" t="s">
        <v>77</v>
      </c>
    </row>
    <row r="35" spans="1:31" x14ac:dyDescent="0.25">
      <c r="A35" s="103" t="s">
        <v>262</v>
      </c>
      <c r="B35" s="104" t="s">
        <v>263</v>
      </c>
      <c r="C35" s="103" t="s">
        <v>528</v>
      </c>
      <c r="D35" s="103" t="s">
        <v>311</v>
      </c>
      <c r="E35" s="103">
        <v>19065.696</v>
      </c>
      <c r="F35" s="103" t="s">
        <v>312</v>
      </c>
      <c r="G35" s="103" t="s">
        <v>357</v>
      </c>
      <c r="H35" s="103" t="s">
        <v>529</v>
      </c>
      <c r="I35" s="103" t="s">
        <v>315</v>
      </c>
      <c r="J35" s="103" t="s">
        <v>530</v>
      </c>
      <c r="K35" s="103" t="s">
        <v>360</v>
      </c>
      <c r="L35" s="103" t="s">
        <v>350</v>
      </c>
      <c r="M35" s="103" t="s">
        <v>380</v>
      </c>
      <c r="N35" s="103" t="s">
        <v>525</v>
      </c>
      <c r="O35" s="105">
        <v>46203</v>
      </c>
      <c r="P35" s="105">
        <v>46222</v>
      </c>
      <c r="Q35" s="105">
        <v>46223</v>
      </c>
      <c r="R35" s="105">
        <v>46227</v>
      </c>
      <c r="S35" s="105">
        <v>46227</v>
      </c>
      <c r="T35" s="105">
        <v>46234</v>
      </c>
      <c r="U35" s="105">
        <v>46233</v>
      </c>
      <c r="V35" s="105">
        <v>46238</v>
      </c>
      <c r="W35" s="105">
        <v>46239</v>
      </c>
      <c r="X35" s="105">
        <v>46238</v>
      </c>
      <c r="Y35" s="105">
        <v>46258</v>
      </c>
      <c r="Z35" s="105">
        <v>46258</v>
      </c>
      <c r="AA35" s="103" t="s">
        <v>531</v>
      </c>
      <c r="AB35" s="105">
        <v>46258</v>
      </c>
      <c r="AC35" s="105">
        <v>46261</v>
      </c>
      <c r="AD35" s="103" t="s">
        <v>407</v>
      </c>
      <c r="AE35" s="106" t="s">
        <v>81</v>
      </c>
    </row>
    <row r="36" spans="1:31" x14ac:dyDescent="0.25">
      <c r="A36" s="103" t="s">
        <v>265</v>
      </c>
      <c r="B36" s="104" t="s">
        <v>266</v>
      </c>
      <c r="C36" s="103" t="s">
        <v>532</v>
      </c>
      <c r="D36" s="103" t="s">
        <v>311</v>
      </c>
      <c r="E36" s="103">
        <v>19065.696</v>
      </c>
      <c r="F36" s="103" t="s">
        <v>312</v>
      </c>
      <c r="G36" s="103" t="s">
        <v>357</v>
      </c>
      <c r="H36" s="103" t="s">
        <v>533</v>
      </c>
      <c r="I36" s="103" t="s">
        <v>315</v>
      </c>
      <c r="J36" s="103" t="s">
        <v>530</v>
      </c>
      <c r="K36" s="103" t="s">
        <v>360</v>
      </c>
      <c r="L36" s="103" t="s">
        <v>350</v>
      </c>
      <c r="M36" s="103" t="s">
        <v>380</v>
      </c>
      <c r="N36" s="103" t="s">
        <v>525</v>
      </c>
      <c r="O36" s="105">
        <v>46203</v>
      </c>
      <c r="P36" s="105">
        <v>46222</v>
      </c>
      <c r="Q36" s="105">
        <v>46223</v>
      </c>
      <c r="R36" s="105">
        <v>46227</v>
      </c>
      <c r="S36" s="105">
        <v>46228</v>
      </c>
      <c r="T36" s="105">
        <v>46234</v>
      </c>
      <c r="U36" s="105">
        <v>46233</v>
      </c>
      <c r="V36" s="105">
        <v>46238</v>
      </c>
      <c r="W36" s="105">
        <v>46239</v>
      </c>
      <c r="X36" s="105">
        <v>46238</v>
      </c>
      <c r="Y36" s="105">
        <v>46258</v>
      </c>
      <c r="Z36" s="105">
        <v>46258</v>
      </c>
      <c r="AA36" s="103" t="s">
        <v>534</v>
      </c>
      <c r="AB36" s="105">
        <v>46258</v>
      </c>
      <c r="AC36" s="105">
        <v>46261</v>
      </c>
      <c r="AD36" s="103" t="s">
        <v>407</v>
      </c>
      <c r="AE36" s="106" t="s">
        <v>535</v>
      </c>
    </row>
    <row r="37" spans="1:31" x14ac:dyDescent="0.25">
      <c r="A37" s="103" t="s">
        <v>78</v>
      </c>
      <c r="B37" s="104" t="s">
        <v>79</v>
      </c>
      <c r="C37" s="103" t="s">
        <v>536</v>
      </c>
      <c r="D37" s="103" t="s">
        <v>311</v>
      </c>
      <c r="E37" s="103">
        <v>17543.332</v>
      </c>
      <c r="F37" s="103" t="s">
        <v>312</v>
      </c>
      <c r="G37" s="103" t="s">
        <v>357</v>
      </c>
      <c r="H37" s="103" t="s">
        <v>537</v>
      </c>
      <c r="I37" s="103" t="s">
        <v>315</v>
      </c>
      <c r="J37" s="103" t="s">
        <v>530</v>
      </c>
      <c r="K37" s="103" t="s">
        <v>360</v>
      </c>
      <c r="L37" s="103" t="s">
        <v>350</v>
      </c>
      <c r="M37" s="103" t="s">
        <v>380</v>
      </c>
      <c r="N37" s="103" t="s">
        <v>525</v>
      </c>
      <c r="O37" s="105">
        <v>46203</v>
      </c>
      <c r="P37" s="105">
        <v>46222</v>
      </c>
      <c r="Q37" s="105">
        <v>46223</v>
      </c>
      <c r="R37" s="105">
        <v>46229</v>
      </c>
      <c r="S37" s="105">
        <v>46229</v>
      </c>
      <c r="T37" s="105">
        <v>46240</v>
      </c>
      <c r="U37" s="105">
        <v>46233</v>
      </c>
      <c r="V37" s="105">
        <v>46241</v>
      </c>
      <c r="W37" s="105">
        <v>46241</v>
      </c>
      <c r="X37" s="105">
        <v>46240</v>
      </c>
      <c r="Y37" s="105">
        <v>46258</v>
      </c>
      <c r="Z37" s="105">
        <v>46258</v>
      </c>
      <c r="AA37" s="103" t="s">
        <v>538</v>
      </c>
      <c r="AB37" s="105">
        <v>46258</v>
      </c>
      <c r="AC37" s="105">
        <v>46261</v>
      </c>
      <c r="AD37" s="103" t="s">
        <v>407</v>
      </c>
      <c r="AE37" s="106" t="s">
        <v>81</v>
      </c>
    </row>
    <row r="38" spans="1:31" x14ac:dyDescent="0.25">
      <c r="A38" s="103" t="s">
        <v>82</v>
      </c>
      <c r="B38" s="104" t="s">
        <v>83</v>
      </c>
      <c r="C38" s="103" t="s">
        <v>539</v>
      </c>
      <c r="D38" s="103" t="s">
        <v>311</v>
      </c>
      <c r="E38" s="103">
        <v>27750</v>
      </c>
      <c r="F38" s="103" t="s">
        <v>312</v>
      </c>
      <c r="G38" s="103" t="s">
        <v>357</v>
      </c>
      <c r="H38" s="103" t="s">
        <v>540</v>
      </c>
      <c r="I38" s="103" t="s">
        <v>315</v>
      </c>
      <c r="J38" s="103" t="s">
        <v>359</v>
      </c>
      <c r="K38" s="103" t="s">
        <v>360</v>
      </c>
      <c r="L38" s="103" t="s">
        <v>503</v>
      </c>
      <c r="M38" s="103" t="s">
        <v>541</v>
      </c>
      <c r="N38" s="103" t="s">
        <v>542</v>
      </c>
      <c r="O38" s="105">
        <v>46173</v>
      </c>
      <c r="P38" s="105">
        <v>46225</v>
      </c>
      <c r="Q38" s="105">
        <v>46226</v>
      </c>
      <c r="R38" s="105">
        <v>46226</v>
      </c>
      <c r="S38" s="105">
        <v>46229</v>
      </c>
      <c r="T38" s="105">
        <v>46233</v>
      </c>
      <c r="U38" s="105">
        <v>46228</v>
      </c>
      <c r="V38" s="105">
        <v>46235</v>
      </c>
      <c r="W38" s="105">
        <v>46237</v>
      </c>
      <c r="X38" s="105">
        <v>46233</v>
      </c>
      <c r="Y38" s="105">
        <v>46258</v>
      </c>
      <c r="Z38" s="105">
        <v>46258</v>
      </c>
      <c r="AA38" s="103" t="s">
        <v>543</v>
      </c>
      <c r="AB38" s="105">
        <v>46259</v>
      </c>
      <c r="AC38" s="105">
        <v>46261</v>
      </c>
      <c r="AD38" s="103" t="s">
        <v>383</v>
      </c>
      <c r="AE38" s="106" t="s">
        <v>85</v>
      </c>
    </row>
    <row r="39" spans="1:31" x14ac:dyDescent="0.25">
      <c r="A39" s="103" t="s">
        <v>82</v>
      </c>
      <c r="B39" s="104" t="s">
        <v>83</v>
      </c>
      <c r="C39" s="103" t="s">
        <v>544</v>
      </c>
      <c r="D39" s="103" t="s">
        <v>311</v>
      </c>
      <c r="E39" s="103">
        <v>26752</v>
      </c>
      <c r="F39" s="103" t="s">
        <v>312</v>
      </c>
      <c r="G39" s="103" t="s">
        <v>357</v>
      </c>
      <c r="H39" s="103" t="s">
        <v>540</v>
      </c>
      <c r="I39" s="103" t="s">
        <v>315</v>
      </c>
      <c r="J39" s="103" t="s">
        <v>359</v>
      </c>
      <c r="K39" s="103" t="s">
        <v>360</v>
      </c>
      <c r="L39" s="103" t="s">
        <v>503</v>
      </c>
      <c r="M39" s="103" t="s">
        <v>541</v>
      </c>
      <c r="N39" s="103" t="s">
        <v>542</v>
      </c>
      <c r="O39" s="105">
        <v>46173</v>
      </c>
      <c r="P39" s="105">
        <v>46225</v>
      </c>
      <c r="Q39" s="105">
        <v>46226</v>
      </c>
      <c r="R39" s="105">
        <v>46226</v>
      </c>
      <c r="S39" s="105">
        <v>46229</v>
      </c>
      <c r="T39" s="105">
        <v>46233</v>
      </c>
      <c r="U39" s="105">
        <v>46228</v>
      </c>
      <c r="V39" s="105">
        <v>46235</v>
      </c>
      <c r="W39" s="105">
        <v>46237</v>
      </c>
      <c r="X39" s="105">
        <v>46233</v>
      </c>
      <c r="Y39" s="105">
        <v>46258</v>
      </c>
      <c r="Z39" s="105">
        <v>46258</v>
      </c>
      <c r="AA39" s="103" t="s">
        <v>545</v>
      </c>
      <c r="AB39" s="105">
        <v>46259</v>
      </c>
      <c r="AC39" s="105">
        <v>46262</v>
      </c>
      <c r="AD39" s="103" t="s">
        <v>383</v>
      </c>
      <c r="AE39" s="106" t="s">
        <v>85</v>
      </c>
    </row>
    <row r="40" spans="1:31" x14ac:dyDescent="0.25">
      <c r="A40" s="103" t="s">
        <v>268</v>
      </c>
      <c r="B40" s="104" t="s">
        <v>269</v>
      </c>
      <c r="C40" s="103" t="s">
        <v>546</v>
      </c>
      <c r="D40" s="103" t="s">
        <v>311</v>
      </c>
      <c r="E40" s="103">
        <v>24460</v>
      </c>
      <c r="F40" s="103" t="s">
        <v>312</v>
      </c>
      <c r="G40" s="103" t="s">
        <v>393</v>
      </c>
      <c r="H40" s="103">
        <v>20260614</v>
      </c>
      <c r="I40" s="103" t="s">
        <v>315</v>
      </c>
      <c r="J40" s="103" t="s">
        <v>547</v>
      </c>
      <c r="K40" s="103" t="s">
        <v>548</v>
      </c>
      <c r="L40" s="103" t="s">
        <v>361</v>
      </c>
      <c r="M40" s="103" t="s">
        <v>396</v>
      </c>
      <c r="N40" s="103" t="s">
        <v>452</v>
      </c>
      <c r="O40" s="105">
        <v>46226</v>
      </c>
      <c r="P40" s="105">
        <v>46211</v>
      </c>
      <c r="Q40" s="105">
        <v>46216</v>
      </c>
      <c r="R40" s="105">
        <v>46217</v>
      </c>
      <c r="S40" s="105">
        <v>46218</v>
      </c>
      <c r="T40" s="105">
        <v>46228</v>
      </c>
      <c r="U40" s="105">
        <v>46226</v>
      </c>
      <c r="V40" s="105">
        <v>46232</v>
      </c>
      <c r="W40" s="105">
        <v>46233</v>
      </c>
      <c r="X40" s="105">
        <v>46232</v>
      </c>
      <c r="Y40" s="105">
        <v>46258</v>
      </c>
      <c r="Z40" s="105">
        <v>46258</v>
      </c>
      <c r="AA40" s="103" t="s">
        <v>549</v>
      </c>
      <c r="AB40" s="105">
        <v>46258</v>
      </c>
      <c r="AC40" s="105">
        <v>46263</v>
      </c>
      <c r="AD40" s="103" t="s">
        <v>550</v>
      </c>
      <c r="AE40" s="106" t="s">
        <v>551</v>
      </c>
    </row>
    <row r="41" spans="1:31" x14ac:dyDescent="0.25">
      <c r="A41" s="103" t="s">
        <v>86</v>
      </c>
      <c r="B41" s="104" t="s">
        <v>87</v>
      </c>
      <c r="C41" s="103" t="s">
        <v>552</v>
      </c>
      <c r="D41" s="103" t="s">
        <v>311</v>
      </c>
      <c r="E41" s="103">
        <v>26260</v>
      </c>
      <c r="F41" s="103" t="s">
        <v>312</v>
      </c>
      <c r="G41" s="103" t="s">
        <v>393</v>
      </c>
      <c r="H41" s="103" t="s">
        <v>553</v>
      </c>
      <c r="I41" s="103" t="s">
        <v>315</v>
      </c>
      <c r="J41" s="103" t="s">
        <v>554</v>
      </c>
      <c r="K41" s="103" t="s">
        <v>444</v>
      </c>
      <c r="L41" s="103" t="s">
        <v>555</v>
      </c>
      <c r="M41" s="103" t="s">
        <v>556</v>
      </c>
      <c r="N41" s="103" t="s">
        <v>557</v>
      </c>
      <c r="O41" s="105">
        <v>46239</v>
      </c>
      <c r="P41" s="105">
        <v>46237</v>
      </c>
      <c r="Q41" s="105">
        <v>46238</v>
      </c>
      <c r="R41" s="105">
        <v>46239</v>
      </c>
      <c r="S41" s="105">
        <v>46239</v>
      </c>
      <c r="T41" s="105">
        <v>46252</v>
      </c>
      <c r="U41" s="105">
        <v>46245</v>
      </c>
      <c r="V41" s="105">
        <v>46254</v>
      </c>
      <c r="W41" s="105">
        <v>46254</v>
      </c>
      <c r="X41" s="105">
        <v>46252</v>
      </c>
      <c r="Y41" s="105">
        <v>46258</v>
      </c>
      <c r="Z41" s="105">
        <v>46258</v>
      </c>
      <c r="AA41" s="103" t="s">
        <v>353</v>
      </c>
      <c r="AB41" s="105">
        <v>46258</v>
      </c>
      <c r="AC41" s="105">
        <v>46264</v>
      </c>
      <c r="AD41" s="103" t="s">
        <v>322</v>
      </c>
      <c r="AE41" s="106" t="s">
        <v>89</v>
      </c>
    </row>
    <row r="42" spans="1:31" x14ac:dyDescent="0.25">
      <c r="A42" s="103" t="s">
        <v>90</v>
      </c>
      <c r="B42" s="104" t="s">
        <v>91</v>
      </c>
      <c r="C42" s="103" t="s">
        <v>558</v>
      </c>
      <c r="D42" s="103" t="s">
        <v>311</v>
      </c>
      <c r="E42" s="103">
        <v>27000</v>
      </c>
      <c r="F42" s="103" t="s">
        <v>312</v>
      </c>
      <c r="G42" s="103" t="s">
        <v>393</v>
      </c>
      <c r="H42" s="103" t="s">
        <v>559</v>
      </c>
      <c r="I42" s="103" t="s">
        <v>315</v>
      </c>
      <c r="J42" s="103" t="s">
        <v>560</v>
      </c>
      <c r="K42" s="103" t="s">
        <v>421</v>
      </c>
      <c r="L42" s="103" t="s">
        <v>379</v>
      </c>
      <c r="M42" s="103" t="s">
        <v>561</v>
      </c>
      <c r="N42" s="103" t="s">
        <v>562</v>
      </c>
      <c r="O42" s="105">
        <v>46206</v>
      </c>
      <c r="P42" s="105">
        <v>46231</v>
      </c>
      <c r="Q42" s="105">
        <v>46232</v>
      </c>
      <c r="R42" s="105">
        <v>46232</v>
      </c>
      <c r="S42" s="105">
        <v>46235</v>
      </c>
      <c r="T42" s="105">
        <v>46237</v>
      </c>
      <c r="U42" s="105">
        <v>46233</v>
      </c>
      <c r="V42" s="105">
        <v>46238</v>
      </c>
      <c r="W42" s="105">
        <v>46239</v>
      </c>
      <c r="X42" s="105">
        <v>46237</v>
      </c>
      <c r="Y42" s="105">
        <v>46267</v>
      </c>
      <c r="Z42" s="105">
        <v>46267</v>
      </c>
      <c r="AA42" s="103" t="s">
        <v>563</v>
      </c>
      <c r="AB42" s="105">
        <v>46267</v>
      </c>
      <c r="AC42" s="105">
        <v>46270</v>
      </c>
      <c r="AD42" s="103" t="s">
        <v>407</v>
      </c>
      <c r="AE42" s="106" t="s">
        <v>93</v>
      </c>
    </row>
    <row r="43" spans="1:31" x14ac:dyDescent="0.25">
      <c r="A43" s="103" t="s">
        <v>271</v>
      </c>
      <c r="B43" s="104" t="s">
        <v>272</v>
      </c>
      <c r="C43" s="103" t="s">
        <v>564</v>
      </c>
      <c r="D43" s="103" t="s">
        <v>311</v>
      </c>
      <c r="E43" s="103">
        <v>26500</v>
      </c>
      <c r="F43" s="103" t="s">
        <v>312</v>
      </c>
      <c r="G43" s="103" t="s">
        <v>393</v>
      </c>
      <c r="H43" s="103">
        <v>20260622</v>
      </c>
      <c r="I43" s="103" t="s">
        <v>315</v>
      </c>
      <c r="J43" s="103" t="s">
        <v>565</v>
      </c>
      <c r="K43" s="103" t="s">
        <v>395</v>
      </c>
      <c r="L43" s="103" t="s">
        <v>350</v>
      </c>
      <c r="M43" s="103" t="s">
        <v>566</v>
      </c>
      <c r="N43" s="103" t="s">
        <v>525</v>
      </c>
      <c r="O43" s="105">
        <v>46230</v>
      </c>
      <c r="P43" s="105">
        <v>46225</v>
      </c>
      <c r="Q43" s="105">
        <v>46226</v>
      </c>
      <c r="R43" s="105">
        <v>46227</v>
      </c>
      <c r="S43" s="105">
        <v>46228</v>
      </c>
      <c r="T43" s="105">
        <v>46240</v>
      </c>
      <c r="U43" s="105">
        <v>46233</v>
      </c>
      <c r="V43" s="105">
        <v>46241</v>
      </c>
      <c r="W43" s="105">
        <v>46241</v>
      </c>
      <c r="X43" s="105">
        <v>46240</v>
      </c>
      <c r="Y43" s="105">
        <v>46266</v>
      </c>
      <c r="Z43" s="105">
        <v>46266</v>
      </c>
      <c r="AA43" s="103" t="s">
        <v>567</v>
      </c>
      <c r="AB43" s="105">
        <v>46266</v>
      </c>
      <c r="AC43" s="105">
        <v>46269</v>
      </c>
      <c r="AD43" s="103" t="s">
        <v>407</v>
      </c>
      <c r="AE43" s="106" t="s">
        <v>568</v>
      </c>
    </row>
    <row r="44" spans="1:31" x14ac:dyDescent="0.25">
      <c r="A44" s="103" t="s">
        <v>274</v>
      </c>
      <c r="B44" s="104" t="s">
        <v>569</v>
      </c>
      <c r="C44" s="103" t="s">
        <v>570</v>
      </c>
      <c r="D44" s="103" t="s">
        <v>311</v>
      </c>
      <c r="E44" s="103">
        <v>23310</v>
      </c>
      <c r="F44" s="103" t="s">
        <v>312</v>
      </c>
      <c r="G44" s="103" t="s">
        <v>393</v>
      </c>
      <c r="H44" s="103">
        <v>20260707</v>
      </c>
      <c r="I44" s="103" t="s">
        <v>315</v>
      </c>
      <c r="J44" s="103" t="s">
        <v>571</v>
      </c>
      <c r="K44" s="103" t="s">
        <v>360</v>
      </c>
      <c r="L44" s="103" t="s">
        <v>318</v>
      </c>
      <c r="M44" s="103" t="s">
        <v>572</v>
      </c>
      <c r="N44" s="103" t="s">
        <v>573</v>
      </c>
      <c r="O44" s="105">
        <v>46231</v>
      </c>
      <c r="P44" s="105">
        <v>46244</v>
      </c>
      <c r="Q44" s="105">
        <v>46245</v>
      </c>
      <c r="R44" s="105">
        <v>46237</v>
      </c>
      <c r="S44" s="105">
        <v>46238</v>
      </c>
      <c r="T44" s="105">
        <v>46245</v>
      </c>
      <c r="U44" s="105">
        <v>46245</v>
      </c>
      <c r="V44" s="105">
        <v>46253</v>
      </c>
      <c r="W44" s="105">
        <v>46253</v>
      </c>
      <c r="X44" s="105">
        <v>46245</v>
      </c>
      <c r="Y44" s="105">
        <v>46266</v>
      </c>
      <c r="Z44" s="105">
        <v>46266</v>
      </c>
      <c r="AA44" s="103" t="s">
        <v>382</v>
      </c>
      <c r="AB44" s="105">
        <v>46266</v>
      </c>
      <c r="AC44" s="105">
        <v>46268</v>
      </c>
      <c r="AD44" s="103" t="s">
        <v>550</v>
      </c>
      <c r="AE44" s="106" t="s">
        <v>522</v>
      </c>
    </row>
    <row r="45" spans="1:31" x14ac:dyDescent="0.25">
      <c r="A45" s="103" t="s">
        <v>94</v>
      </c>
      <c r="B45" s="103" t="s">
        <v>95</v>
      </c>
      <c r="C45" s="103" t="s">
        <v>574</v>
      </c>
      <c r="D45" s="103" t="s">
        <v>311</v>
      </c>
      <c r="E45" s="103">
        <v>19850</v>
      </c>
      <c r="F45" s="103" t="s">
        <v>312</v>
      </c>
      <c r="G45" s="103" t="s">
        <v>393</v>
      </c>
      <c r="H45" s="103" t="s">
        <v>575</v>
      </c>
      <c r="I45" s="103" t="s">
        <v>315</v>
      </c>
      <c r="J45" s="103" t="s">
        <v>458</v>
      </c>
      <c r="K45" s="103" t="s">
        <v>421</v>
      </c>
      <c r="L45" s="103" t="s">
        <v>459</v>
      </c>
      <c r="M45" s="103" t="s">
        <v>460</v>
      </c>
      <c r="N45" s="103" t="s">
        <v>576</v>
      </c>
      <c r="O45" s="107">
        <v>46217</v>
      </c>
      <c r="P45" s="107">
        <v>46227</v>
      </c>
      <c r="Q45" s="107">
        <v>46228</v>
      </c>
      <c r="R45" s="105">
        <v>46230</v>
      </c>
      <c r="S45" s="105">
        <v>46230</v>
      </c>
      <c r="T45" s="107">
        <v>46252</v>
      </c>
      <c r="U45" s="107">
        <v>46228</v>
      </c>
      <c r="V45" s="107">
        <v>46253</v>
      </c>
      <c r="W45" s="107">
        <v>46253</v>
      </c>
      <c r="X45" s="107">
        <v>46252</v>
      </c>
      <c r="Y45" s="105">
        <v>46266</v>
      </c>
      <c r="Z45" s="105">
        <v>46266</v>
      </c>
      <c r="AA45" s="103" t="s">
        <v>386</v>
      </c>
      <c r="AB45" s="105">
        <v>46266</v>
      </c>
      <c r="AC45" s="105">
        <v>46268</v>
      </c>
      <c r="AD45" s="103" t="s">
        <v>383</v>
      </c>
      <c r="AE45" s="103" t="s">
        <v>97</v>
      </c>
    </row>
    <row r="46" spans="1:31" x14ac:dyDescent="0.25">
      <c r="A46" s="103">
        <v>2607172</v>
      </c>
      <c r="B46" s="104" t="s">
        <v>99</v>
      </c>
      <c r="C46" s="103" t="s">
        <v>577</v>
      </c>
      <c r="D46" s="103" t="s">
        <v>311</v>
      </c>
      <c r="E46" s="103">
        <v>25320</v>
      </c>
      <c r="F46" s="103" t="s">
        <v>312</v>
      </c>
      <c r="G46" s="103" t="s">
        <v>393</v>
      </c>
      <c r="H46" s="103">
        <v>20260531</v>
      </c>
      <c r="I46" s="103" t="s">
        <v>315</v>
      </c>
      <c r="J46" s="103" t="s">
        <v>443</v>
      </c>
      <c r="K46" s="103" t="s">
        <v>360</v>
      </c>
      <c r="L46" s="103" t="s">
        <v>445</v>
      </c>
      <c r="M46" s="103" t="s">
        <v>556</v>
      </c>
      <c r="N46" s="103" t="s">
        <v>446</v>
      </c>
      <c r="O46" s="105">
        <v>46212</v>
      </c>
      <c r="P46" s="105">
        <v>46226</v>
      </c>
      <c r="Q46" s="105">
        <v>46230</v>
      </c>
      <c r="R46" s="105">
        <v>46228</v>
      </c>
      <c r="S46" s="105">
        <v>46229</v>
      </c>
      <c r="T46" s="105">
        <v>46233</v>
      </c>
      <c r="U46" s="105">
        <v>46227</v>
      </c>
      <c r="V46" s="105">
        <v>46233</v>
      </c>
      <c r="W46" s="105">
        <v>46233</v>
      </c>
      <c r="X46" s="105">
        <v>46233</v>
      </c>
      <c r="Y46" s="105">
        <v>46262</v>
      </c>
      <c r="Z46" s="105">
        <v>46262</v>
      </c>
      <c r="AA46" s="103" t="s">
        <v>578</v>
      </c>
      <c r="AB46" s="105">
        <v>46262</v>
      </c>
      <c r="AC46" s="105">
        <v>46265</v>
      </c>
      <c r="AD46" s="103" t="s">
        <v>431</v>
      </c>
      <c r="AE46" s="106" t="s">
        <v>101</v>
      </c>
    </row>
    <row r="47" spans="1:31" x14ac:dyDescent="0.25">
      <c r="A47" s="103">
        <v>2607163</v>
      </c>
      <c r="B47" s="104" t="s">
        <v>103</v>
      </c>
      <c r="C47" s="103" t="s">
        <v>579</v>
      </c>
      <c r="D47" s="103" t="s">
        <v>311</v>
      </c>
      <c r="E47" s="103">
        <v>22407</v>
      </c>
      <c r="F47" s="103" t="s">
        <v>312</v>
      </c>
      <c r="G47" s="103" t="s">
        <v>313</v>
      </c>
      <c r="H47" s="103" t="s">
        <v>580</v>
      </c>
      <c r="I47" s="103" t="s">
        <v>315</v>
      </c>
      <c r="J47" s="103" t="s">
        <v>316</v>
      </c>
      <c r="K47" s="103" t="s">
        <v>317</v>
      </c>
      <c r="L47" s="103" t="s">
        <v>327</v>
      </c>
      <c r="M47" s="103" t="s">
        <v>319</v>
      </c>
      <c r="N47" s="103" t="s">
        <v>512</v>
      </c>
      <c r="O47" s="105">
        <v>46200</v>
      </c>
      <c r="P47" s="105">
        <v>46224</v>
      </c>
      <c r="Q47" s="105">
        <v>46225</v>
      </c>
      <c r="R47" s="105">
        <v>46225</v>
      </c>
      <c r="S47" s="105">
        <v>46225</v>
      </c>
      <c r="T47" s="105">
        <v>46237</v>
      </c>
      <c r="U47" s="105">
        <v>46226</v>
      </c>
      <c r="V47" s="105">
        <v>46244</v>
      </c>
      <c r="W47" s="105">
        <v>46244</v>
      </c>
      <c r="X47" s="105">
        <v>46237</v>
      </c>
      <c r="Y47" s="105">
        <v>46240</v>
      </c>
      <c r="Z47" s="105">
        <v>46240</v>
      </c>
      <c r="AA47" s="103" t="s">
        <v>563</v>
      </c>
      <c r="AB47" s="105">
        <v>46241</v>
      </c>
      <c r="AC47" s="105">
        <v>46245</v>
      </c>
      <c r="AD47" s="103" t="s">
        <v>322</v>
      </c>
      <c r="AE47" s="106" t="s">
        <v>14</v>
      </c>
    </row>
    <row r="48" spans="1:31" x14ac:dyDescent="0.25">
      <c r="A48" s="103">
        <v>260791</v>
      </c>
      <c r="B48" s="104" t="s">
        <v>106</v>
      </c>
      <c r="C48" s="103" t="s">
        <v>581</v>
      </c>
      <c r="D48" s="103" t="s">
        <v>311</v>
      </c>
      <c r="E48" s="103">
        <v>23080</v>
      </c>
      <c r="F48" s="103" t="s">
        <v>312</v>
      </c>
      <c r="G48" s="103" t="s">
        <v>500</v>
      </c>
      <c r="H48" s="103" t="s">
        <v>582</v>
      </c>
      <c r="I48" s="103" t="s">
        <v>315</v>
      </c>
      <c r="J48" s="103" t="s">
        <v>583</v>
      </c>
      <c r="K48" s="103" t="s">
        <v>584</v>
      </c>
      <c r="L48" s="103" t="s">
        <v>445</v>
      </c>
      <c r="M48" s="103" t="s">
        <v>585</v>
      </c>
      <c r="N48" s="103" t="s">
        <v>586</v>
      </c>
      <c r="O48" s="105">
        <v>46195</v>
      </c>
      <c r="P48" s="105">
        <v>46205</v>
      </c>
      <c r="Q48" s="105">
        <v>46206</v>
      </c>
      <c r="R48" s="105">
        <v>46204</v>
      </c>
      <c r="S48" s="105">
        <v>46206</v>
      </c>
      <c r="T48" s="105">
        <v>46216</v>
      </c>
      <c r="U48" s="105">
        <v>46211</v>
      </c>
      <c r="V48" s="105">
        <v>46219</v>
      </c>
      <c r="W48" s="105">
        <v>46219</v>
      </c>
      <c r="X48" s="105">
        <v>46216</v>
      </c>
      <c r="Y48" s="105">
        <v>46218</v>
      </c>
      <c r="Z48" s="105">
        <v>46218</v>
      </c>
      <c r="AA48" s="103" t="s">
        <v>587</v>
      </c>
      <c r="AB48" s="105">
        <v>46218</v>
      </c>
      <c r="AC48" s="105">
        <v>46219</v>
      </c>
      <c r="AD48" s="103" t="s">
        <v>588</v>
      </c>
      <c r="AE48" s="106" t="s">
        <v>108</v>
      </c>
    </row>
    <row r="49" spans="1:31" x14ac:dyDescent="0.25">
      <c r="A49" s="103">
        <v>260791</v>
      </c>
      <c r="B49" s="104" t="s">
        <v>106</v>
      </c>
      <c r="C49" s="103" t="s">
        <v>589</v>
      </c>
      <c r="D49" s="103" t="s">
        <v>311</v>
      </c>
      <c r="E49" s="103">
        <v>23420</v>
      </c>
      <c r="F49" s="103" t="s">
        <v>312</v>
      </c>
      <c r="G49" s="103" t="s">
        <v>500</v>
      </c>
      <c r="H49" s="103" t="s">
        <v>582</v>
      </c>
      <c r="I49" s="103" t="s">
        <v>315</v>
      </c>
      <c r="J49" s="103" t="s">
        <v>583</v>
      </c>
      <c r="K49" s="103" t="s">
        <v>584</v>
      </c>
      <c r="L49" s="103" t="s">
        <v>445</v>
      </c>
      <c r="M49" s="103" t="s">
        <v>585</v>
      </c>
      <c r="N49" s="103" t="s">
        <v>586</v>
      </c>
      <c r="O49" s="105">
        <v>46195</v>
      </c>
      <c r="P49" s="105">
        <v>46205</v>
      </c>
      <c r="Q49" s="105">
        <v>46206</v>
      </c>
      <c r="R49" s="105">
        <v>46204</v>
      </c>
      <c r="S49" s="105">
        <v>46206</v>
      </c>
      <c r="T49" s="105">
        <v>46216</v>
      </c>
      <c r="U49" s="105">
        <v>46211</v>
      </c>
      <c r="V49" s="105">
        <v>46219</v>
      </c>
      <c r="W49" s="105">
        <v>46219</v>
      </c>
      <c r="X49" s="105">
        <v>46216</v>
      </c>
      <c r="Y49" s="105">
        <v>46218</v>
      </c>
      <c r="Z49" s="105">
        <v>46218</v>
      </c>
      <c r="AA49" s="103" t="s">
        <v>590</v>
      </c>
      <c r="AB49" s="105">
        <v>46218</v>
      </c>
      <c r="AC49" s="105">
        <v>46219</v>
      </c>
      <c r="AD49" s="103" t="s">
        <v>588</v>
      </c>
      <c r="AE49" s="106" t="s">
        <v>108</v>
      </c>
    </row>
    <row r="50" spans="1:31" x14ac:dyDescent="0.25">
      <c r="A50" s="103" t="s">
        <v>109</v>
      </c>
      <c r="B50" s="104" t="s">
        <v>110</v>
      </c>
      <c r="C50" s="103" t="s">
        <v>591</v>
      </c>
      <c r="D50" s="103" t="s">
        <v>311</v>
      </c>
      <c r="E50" s="103">
        <v>24791.2</v>
      </c>
      <c r="F50" s="103" t="s">
        <v>312</v>
      </c>
      <c r="G50" s="103" t="s">
        <v>393</v>
      </c>
      <c r="H50" s="103" t="s">
        <v>592</v>
      </c>
      <c r="I50" s="103" t="s">
        <v>315</v>
      </c>
      <c r="J50" s="103" t="s">
        <v>593</v>
      </c>
      <c r="K50" s="103" t="s">
        <v>594</v>
      </c>
      <c r="L50" s="103" t="s">
        <v>350</v>
      </c>
      <c r="M50" s="103" t="s">
        <v>595</v>
      </c>
      <c r="N50" s="103" t="s">
        <v>452</v>
      </c>
      <c r="O50" s="105">
        <v>46263</v>
      </c>
      <c r="P50" s="105">
        <v>46268</v>
      </c>
      <c r="Q50" s="105">
        <v>46269</v>
      </c>
      <c r="R50" s="105">
        <v>46269</v>
      </c>
      <c r="S50" s="105">
        <v>46274</v>
      </c>
      <c r="T50" s="105">
        <v>46287</v>
      </c>
      <c r="U50" s="105">
        <v>46269</v>
      </c>
      <c r="V50" s="105">
        <v>46288</v>
      </c>
      <c r="W50" s="105">
        <v>46288</v>
      </c>
      <c r="X50" s="105">
        <v>46287</v>
      </c>
      <c r="Y50" s="105">
        <v>46287</v>
      </c>
      <c r="Z50" s="105">
        <v>46287</v>
      </c>
      <c r="AA50" s="103" t="s">
        <v>596</v>
      </c>
      <c r="AB50" s="105">
        <v>46288</v>
      </c>
      <c r="AC50" s="105">
        <v>46288</v>
      </c>
      <c r="AD50" s="103" t="s">
        <v>365</v>
      </c>
      <c r="AE50" s="106" t="s">
        <v>112</v>
      </c>
    </row>
    <row r="51" spans="1:31" x14ac:dyDescent="0.25">
      <c r="A51" s="103" t="s">
        <v>109</v>
      </c>
      <c r="B51" s="104" t="s">
        <v>110</v>
      </c>
      <c r="C51" s="103" t="s">
        <v>597</v>
      </c>
      <c r="D51" s="103" t="s">
        <v>311</v>
      </c>
      <c r="E51" s="103">
        <v>24791.2</v>
      </c>
      <c r="F51" s="103" t="s">
        <v>312</v>
      </c>
      <c r="G51" s="103" t="s">
        <v>393</v>
      </c>
      <c r="H51" s="103" t="s">
        <v>592</v>
      </c>
      <c r="I51" s="103" t="s">
        <v>315</v>
      </c>
      <c r="J51" s="103" t="s">
        <v>593</v>
      </c>
      <c r="K51" s="103" t="s">
        <v>594</v>
      </c>
      <c r="L51" s="103" t="s">
        <v>350</v>
      </c>
      <c r="M51" s="103" t="s">
        <v>595</v>
      </c>
      <c r="N51" s="103" t="s">
        <v>452</v>
      </c>
      <c r="O51" s="105">
        <v>46263</v>
      </c>
      <c r="P51" s="105">
        <v>46268</v>
      </c>
      <c r="Q51" s="105">
        <v>46269</v>
      </c>
      <c r="R51" s="105">
        <v>46269</v>
      </c>
      <c r="S51" s="105">
        <v>46274</v>
      </c>
      <c r="T51" s="105">
        <v>46287</v>
      </c>
      <c r="U51" s="105">
        <v>46269</v>
      </c>
      <c r="V51" s="105">
        <v>46288</v>
      </c>
      <c r="W51" s="105">
        <v>46288</v>
      </c>
      <c r="X51" s="105">
        <v>46287</v>
      </c>
      <c r="Y51" s="105">
        <v>46287</v>
      </c>
      <c r="Z51" s="105">
        <v>46287</v>
      </c>
      <c r="AA51" s="103" t="s">
        <v>598</v>
      </c>
      <c r="AB51" s="105">
        <v>46288</v>
      </c>
      <c r="AC51" s="105">
        <v>46288</v>
      </c>
      <c r="AD51" s="103" t="s">
        <v>365</v>
      </c>
      <c r="AE51" s="106" t="s">
        <v>112</v>
      </c>
    </row>
    <row r="52" spans="1:31" x14ac:dyDescent="0.25">
      <c r="A52" s="103" t="s">
        <v>109</v>
      </c>
      <c r="B52" s="104" t="s">
        <v>110</v>
      </c>
      <c r="C52" s="103" t="s">
        <v>599</v>
      </c>
      <c r="D52" s="103" t="s">
        <v>311</v>
      </c>
      <c r="E52" s="103">
        <v>24791.2</v>
      </c>
      <c r="F52" s="103" t="s">
        <v>312</v>
      </c>
      <c r="G52" s="103" t="s">
        <v>393</v>
      </c>
      <c r="H52" s="103" t="s">
        <v>592</v>
      </c>
      <c r="I52" s="103" t="s">
        <v>315</v>
      </c>
      <c r="J52" s="103" t="s">
        <v>593</v>
      </c>
      <c r="K52" s="103" t="s">
        <v>594</v>
      </c>
      <c r="L52" s="103" t="s">
        <v>350</v>
      </c>
      <c r="M52" s="103" t="s">
        <v>595</v>
      </c>
      <c r="N52" s="103" t="s">
        <v>452</v>
      </c>
      <c r="O52" s="105">
        <v>46263</v>
      </c>
      <c r="P52" s="105">
        <v>46268</v>
      </c>
      <c r="Q52" s="105">
        <v>46269</v>
      </c>
      <c r="R52" s="105">
        <v>46269</v>
      </c>
      <c r="S52" s="105">
        <v>46274</v>
      </c>
      <c r="T52" s="105">
        <v>46287</v>
      </c>
      <c r="U52" s="105">
        <v>46269</v>
      </c>
      <c r="V52" s="105">
        <v>46288</v>
      </c>
      <c r="W52" s="105">
        <v>46288</v>
      </c>
      <c r="X52" s="105">
        <v>46287</v>
      </c>
      <c r="Y52" s="105">
        <v>46287</v>
      </c>
      <c r="Z52" s="105">
        <v>46287</v>
      </c>
      <c r="AA52" s="103" t="s">
        <v>600</v>
      </c>
      <c r="AB52" s="105">
        <v>46288</v>
      </c>
      <c r="AC52" s="105">
        <v>46288</v>
      </c>
      <c r="AD52" s="103" t="s">
        <v>365</v>
      </c>
      <c r="AE52" s="106" t="s">
        <v>112</v>
      </c>
    </row>
    <row r="53" spans="1:31" x14ac:dyDescent="0.25">
      <c r="A53" s="103" t="s">
        <v>109</v>
      </c>
      <c r="B53" s="104" t="s">
        <v>110</v>
      </c>
      <c r="C53" s="103" t="s">
        <v>601</v>
      </c>
      <c r="D53" s="103" t="s">
        <v>311</v>
      </c>
      <c r="E53" s="103">
        <v>24791.2</v>
      </c>
      <c r="F53" s="103" t="s">
        <v>312</v>
      </c>
      <c r="G53" s="103" t="s">
        <v>393</v>
      </c>
      <c r="H53" s="103" t="s">
        <v>592</v>
      </c>
      <c r="I53" s="103" t="s">
        <v>315</v>
      </c>
      <c r="J53" s="103" t="s">
        <v>593</v>
      </c>
      <c r="K53" s="103" t="s">
        <v>594</v>
      </c>
      <c r="L53" s="103" t="s">
        <v>350</v>
      </c>
      <c r="M53" s="103" t="s">
        <v>595</v>
      </c>
      <c r="N53" s="103" t="s">
        <v>452</v>
      </c>
      <c r="O53" s="105">
        <v>46263</v>
      </c>
      <c r="P53" s="105">
        <v>46268</v>
      </c>
      <c r="Q53" s="105">
        <v>46269</v>
      </c>
      <c r="R53" s="105">
        <v>46269</v>
      </c>
      <c r="S53" s="105">
        <v>46274</v>
      </c>
      <c r="T53" s="105">
        <v>46287</v>
      </c>
      <c r="U53" s="105">
        <v>46269</v>
      </c>
      <c r="V53" s="105">
        <v>46288</v>
      </c>
      <c r="W53" s="105">
        <v>46288</v>
      </c>
      <c r="X53" s="105">
        <v>46287</v>
      </c>
      <c r="Y53" s="105">
        <v>46287</v>
      </c>
      <c r="Z53" s="105">
        <v>46287</v>
      </c>
      <c r="AA53" s="103" t="s">
        <v>602</v>
      </c>
      <c r="AB53" s="105">
        <v>46288</v>
      </c>
      <c r="AC53" s="105">
        <v>46288</v>
      </c>
      <c r="AD53" s="103" t="s">
        <v>365</v>
      </c>
      <c r="AE53" s="106" t="s">
        <v>112</v>
      </c>
    </row>
    <row r="54" spans="1:31" x14ac:dyDescent="0.25">
      <c r="A54" s="103" t="s">
        <v>109</v>
      </c>
      <c r="B54" s="104" t="s">
        <v>110</v>
      </c>
      <c r="C54" s="103" t="s">
        <v>603</v>
      </c>
      <c r="D54" s="103" t="s">
        <v>311</v>
      </c>
      <c r="E54" s="103">
        <v>24791.2</v>
      </c>
      <c r="F54" s="103" t="s">
        <v>312</v>
      </c>
      <c r="G54" s="103" t="s">
        <v>393</v>
      </c>
      <c r="H54" s="103" t="s">
        <v>592</v>
      </c>
      <c r="I54" s="103" t="s">
        <v>315</v>
      </c>
      <c r="J54" s="103" t="s">
        <v>593</v>
      </c>
      <c r="K54" s="103" t="s">
        <v>594</v>
      </c>
      <c r="L54" s="103" t="s">
        <v>350</v>
      </c>
      <c r="M54" s="103" t="s">
        <v>595</v>
      </c>
      <c r="N54" s="103" t="s">
        <v>452</v>
      </c>
      <c r="O54" s="105">
        <v>46263</v>
      </c>
      <c r="P54" s="105">
        <v>46268</v>
      </c>
      <c r="Q54" s="105">
        <v>46269</v>
      </c>
      <c r="R54" s="105">
        <v>46269</v>
      </c>
      <c r="S54" s="105">
        <v>46274</v>
      </c>
      <c r="T54" s="105">
        <v>46287</v>
      </c>
      <c r="U54" s="105">
        <v>46269</v>
      </c>
      <c r="V54" s="105">
        <v>46288</v>
      </c>
      <c r="W54" s="105">
        <v>46288</v>
      </c>
      <c r="X54" s="105">
        <v>46287</v>
      </c>
      <c r="Y54" s="105">
        <v>46288</v>
      </c>
      <c r="Z54" s="105">
        <v>46288</v>
      </c>
      <c r="AA54" s="103" t="s">
        <v>604</v>
      </c>
      <c r="AB54" s="105">
        <v>46288</v>
      </c>
      <c r="AC54" s="105">
        <v>46288</v>
      </c>
      <c r="AD54" s="103" t="s">
        <v>365</v>
      </c>
      <c r="AE54" s="106" t="s">
        <v>112</v>
      </c>
    </row>
    <row r="55" spans="1:31" x14ac:dyDescent="0.25">
      <c r="A55" s="103" t="s">
        <v>109</v>
      </c>
      <c r="B55" s="104" t="s">
        <v>110</v>
      </c>
      <c r="C55" s="103" t="s">
        <v>605</v>
      </c>
      <c r="D55" s="103" t="s">
        <v>311</v>
      </c>
      <c r="E55" s="103">
        <v>24791.2</v>
      </c>
      <c r="F55" s="103" t="s">
        <v>312</v>
      </c>
      <c r="G55" s="103" t="s">
        <v>393</v>
      </c>
      <c r="H55" s="103" t="s">
        <v>592</v>
      </c>
      <c r="I55" s="103" t="s">
        <v>315</v>
      </c>
      <c r="J55" s="103" t="s">
        <v>593</v>
      </c>
      <c r="K55" s="103" t="s">
        <v>594</v>
      </c>
      <c r="L55" s="103" t="s">
        <v>350</v>
      </c>
      <c r="M55" s="103" t="s">
        <v>595</v>
      </c>
      <c r="N55" s="103" t="s">
        <v>452</v>
      </c>
      <c r="O55" s="105">
        <v>46263</v>
      </c>
      <c r="P55" s="105">
        <v>46268</v>
      </c>
      <c r="Q55" s="105">
        <v>46269</v>
      </c>
      <c r="R55" s="105">
        <v>46269</v>
      </c>
      <c r="S55" s="105">
        <v>46274</v>
      </c>
      <c r="T55" s="105">
        <v>46287</v>
      </c>
      <c r="U55" s="105">
        <v>46269</v>
      </c>
      <c r="V55" s="105">
        <v>46288</v>
      </c>
      <c r="W55" s="105">
        <v>46288</v>
      </c>
      <c r="X55" s="105">
        <v>46287</v>
      </c>
      <c r="Y55" s="105">
        <v>46288</v>
      </c>
      <c r="Z55" s="105">
        <v>46288</v>
      </c>
      <c r="AA55" s="103" t="s">
        <v>606</v>
      </c>
      <c r="AB55" s="105">
        <v>46288</v>
      </c>
      <c r="AC55" s="105">
        <v>46288</v>
      </c>
      <c r="AD55" s="103" t="s">
        <v>365</v>
      </c>
      <c r="AE55" s="106" t="s">
        <v>112</v>
      </c>
    </row>
    <row r="56" spans="1:31" x14ac:dyDescent="0.25">
      <c r="A56" s="103" t="s">
        <v>109</v>
      </c>
      <c r="B56" s="104" t="s">
        <v>110</v>
      </c>
      <c r="C56" s="103" t="s">
        <v>607</v>
      </c>
      <c r="D56" s="103" t="s">
        <v>311</v>
      </c>
      <c r="E56" s="103">
        <v>24791.2</v>
      </c>
      <c r="F56" s="103" t="s">
        <v>312</v>
      </c>
      <c r="G56" s="103" t="s">
        <v>393</v>
      </c>
      <c r="H56" s="103" t="s">
        <v>592</v>
      </c>
      <c r="I56" s="103" t="s">
        <v>315</v>
      </c>
      <c r="J56" s="103" t="s">
        <v>593</v>
      </c>
      <c r="K56" s="103" t="s">
        <v>594</v>
      </c>
      <c r="L56" s="103" t="s">
        <v>350</v>
      </c>
      <c r="M56" s="103" t="s">
        <v>595</v>
      </c>
      <c r="N56" s="103" t="s">
        <v>452</v>
      </c>
      <c r="O56" s="105">
        <v>46263</v>
      </c>
      <c r="P56" s="105">
        <v>46268</v>
      </c>
      <c r="Q56" s="105">
        <v>46269</v>
      </c>
      <c r="R56" s="105">
        <v>46269</v>
      </c>
      <c r="S56" s="105">
        <v>46274</v>
      </c>
      <c r="T56" s="105">
        <v>46287</v>
      </c>
      <c r="U56" s="105">
        <v>46269</v>
      </c>
      <c r="V56" s="105">
        <v>46288</v>
      </c>
      <c r="W56" s="105">
        <v>46288</v>
      </c>
      <c r="X56" s="105">
        <v>46287</v>
      </c>
      <c r="Y56" s="105">
        <v>46287</v>
      </c>
      <c r="Z56" s="105">
        <v>46287</v>
      </c>
      <c r="AA56" s="103" t="s">
        <v>608</v>
      </c>
      <c r="AB56" s="105">
        <v>46288</v>
      </c>
      <c r="AC56" s="105">
        <v>46289</v>
      </c>
      <c r="AD56" s="103" t="s">
        <v>365</v>
      </c>
      <c r="AE56" s="106" t="s">
        <v>112</v>
      </c>
    </row>
    <row r="57" spans="1:31" x14ac:dyDescent="0.25">
      <c r="A57" s="103" t="s">
        <v>109</v>
      </c>
      <c r="B57" s="104" t="s">
        <v>110</v>
      </c>
      <c r="C57" s="103" t="s">
        <v>609</v>
      </c>
      <c r="D57" s="103" t="s">
        <v>311</v>
      </c>
      <c r="E57" s="103">
        <v>24791.2</v>
      </c>
      <c r="F57" s="103" t="s">
        <v>312</v>
      </c>
      <c r="G57" s="103" t="s">
        <v>393</v>
      </c>
      <c r="H57" s="103" t="s">
        <v>592</v>
      </c>
      <c r="I57" s="103" t="s">
        <v>315</v>
      </c>
      <c r="J57" s="103" t="s">
        <v>593</v>
      </c>
      <c r="K57" s="103" t="s">
        <v>594</v>
      </c>
      <c r="L57" s="103" t="s">
        <v>350</v>
      </c>
      <c r="M57" s="103" t="s">
        <v>595</v>
      </c>
      <c r="N57" s="103" t="s">
        <v>452</v>
      </c>
      <c r="O57" s="105">
        <v>46263</v>
      </c>
      <c r="P57" s="105">
        <v>46268</v>
      </c>
      <c r="Q57" s="105">
        <v>46269</v>
      </c>
      <c r="R57" s="105">
        <v>46269</v>
      </c>
      <c r="S57" s="105">
        <v>46274</v>
      </c>
      <c r="T57" s="105">
        <v>46287</v>
      </c>
      <c r="U57" s="105">
        <v>46269</v>
      </c>
      <c r="V57" s="105">
        <v>46288</v>
      </c>
      <c r="W57" s="105">
        <v>46288</v>
      </c>
      <c r="X57" s="105">
        <v>46287</v>
      </c>
      <c r="Y57" s="105">
        <v>46287</v>
      </c>
      <c r="Z57" s="105">
        <v>46287</v>
      </c>
      <c r="AA57" s="103" t="s">
        <v>610</v>
      </c>
      <c r="AB57" s="105">
        <v>46288</v>
      </c>
      <c r="AC57" s="105">
        <v>46289</v>
      </c>
      <c r="AD57" s="103" t="s">
        <v>365</v>
      </c>
      <c r="AE57" s="106" t="s">
        <v>112</v>
      </c>
    </row>
    <row r="58" spans="1:31" x14ac:dyDescent="0.25">
      <c r="A58" s="103" t="s">
        <v>109</v>
      </c>
      <c r="B58" s="104" t="s">
        <v>110</v>
      </c>
      <c r="C58" s="103" t="s">
        <v>611</v>
      </c>
      <c r="D58" s="103" t="s">
        <v>311</v>
      </c>
      <c r="E58" s="103">
        <v>24791.2</v>
      </c>
      <c r="F58" s="103" t="s">
        <v>312</v>
      </c>
      <c r="G58" s="103" t="s">
        <v>393</v>
      </c>
      <c r="H58" s="103" t="s">
        <v>592</v>
      </c>
      <c r="I58" s="103" t="s">
        <v>315</v>
      </c>
      <c r="J58" s="103" t="s">
        <v>593</v>
      </c>
      <c r="K58" s="103" t="s">
        <v>594</v>
      </c>
      <c r="L58" s="103" t="s">
        <v>350</v>
      </c>
      <c r="M58" s="103" t="s">
        <v>595</v>
      </c>
      <c r="N58" s="103" t="s">
        <v>452</v>
      </c>
      <c r="O58" s="105">
        <v>46263</v>
      </c>
      <c r="P58" s="105">
        <v>46268</v>
      </c>
      <c r="Q58" s="105">
        <v>46269</v>
      </c>
      <c r="R58" s="105">
        <v>46269</v>
      </c>
      <c r="S58" s="105">
        <v>46274</v>
      </c>
      <c r="T58" s="105">
        <v>46287</v>
      </c>
      <c r="U58" s="105">
        <v>46269</v>
      </c>
      <c r="V58" s="105">
        <v>46288</v>
      </c>
      <c r="W58" s="105">
        <v>46288</v>
      </c>
      <c r="X58" s="105">
        <v>46287</v>
      </c>
      <c r="Y58" s="105">
        <v>46287</v>
      </c>
      <c r="Z58" s="105">
        <v>46287</v>
      </c>
      <c r="AA58" s="103" t="s">
        <v>612</v>
      </c>
      <c r="AB58" s="105">
        <v>46288</v>
      </c>
      <c r="AC58" s="105">
        <v>46289</v>
      </c>
      <c r="AD58" s="103" t="s">
        <v>365</v>
      </c>
      <c r="AE58" s="106" t="s">
        <v>112</v>
      </c>
    </row>
    <row r="59" spans="1:31" x14ac:dyDescent="0.25">
      <c r="A59" s="103" t="s">
        <v>109</v>
      </c>
      <c r="B59" s="104" t="s">
        <v>110</v>
      </c>
      <c r="C59" s="103" t="s">
        <v>613</v>
      </c>
      <c r="D59" s="103" t="s">
        <v>311</v>
      </c>
      <c r="E59" s="103">
        <v>24791.2</v>
      </c>
      <c r="F59" s="103" t="s">
        <v>312</v>
      </c>
      <c r="G59" s="103" t="s">
        <v>393</v>
      </c>
      <c r="H59" s="103" t="s">
        <v>592</v>
      </c>
      <c r="I59" s="103" t="s">
        <v>315</v>
      </c>
      <c r="J59" s="103" t="s">
        <v>593</v>
      </c>
      <c r="K59" s="103" t="s">
        <v>594</v>
      </c>
      <c r="L59" s="103" t="s">
        <v>350</v>
      </c>
      <c r="M59" s="103" t="s">
        <v>595</v>
      </c>
      <c r="N59" s="103" t="s">
        <v>452</v>
      </c>
      <c r="O59" s="105">
        <v>46263</v>
      </c>
      <c r="P59" s="105">
        <v>46268</v>
      </c>
      <c r="Q59" s="105">
        <v>46269</v>
      </c>
      <c r="R59" s="105">
        <v>46269</v>
      </c>
      <c r="S59" s="105">
        <v>46274</v>
      </c>
      <c r="T59" s="105">
        <v>46287</v>
      </c>
      <c r="U59" s="105">
        <v>46269</v>
      </c>
      <c r="V59" s="105">
        <v>46288</v>
      </c>
      <c r="W59" s="105">
        <v>46288</v>
      </c>
      <c r="X59" s="105">
        <v>46287</v>
      </c>
      <c r="Y59" s="105">
        <v>46288</v>
      </c>
      <c r="Z59" s="105">
        <v>46288</v>
      </c>
      <c r="AA59" s="103" t="s">
        <v>614</v>
      </c>
      <c r="AB59" s="105">
        <v>46288</v>
      </c>
      <c r="AC59" s="105">
        <v>46289</v>
      </c>
      <c r="AD59" s="103" t="s">
        <v>365</v>
      </c>
      <c r="AE59" s="106" t="s">
        <v>112</v>
      </c>
    </row>
    <row r="60" spans="1:31" x14ac:dyDescent="0.25">
      <c r="A60" s="103" t="s">
        <v>109</v>
      </c>
      <c r="B60" s="104" t="s">
        <v>110</v>
      </c>
      <c r="C60" s="103" t="s">
        <v>615</v>
      </c>
      <c r="D60" s="103" t="s">
        <v>311</v>
      </c>
      <c r="E60" s="103">
        <v>24791.2</v>
      </c>
      <c r="F60" s="103" t="s">
        <v>312</v>
      </c>
      <c r="G60" s="103" t="s">
        <v>393</v>
      </c>
      <c r="H60" s="103" t="s">
        <v>592</v>
      </c>
      <c r="I60" s="103" t="s">
        <v>315</v>
      </c>
      <c r="J60" s="103" t="s">
        <v>593</v>
      </c>
      <c r="K60" s="103" t="s">
        <v>594</v>
      </c>
      <c r="L60" s="103" t="s">
        <v>350</v>
      </c>
      <c r="M60" s="103" t="s">
        <v>595</v>
      </c>
      <c r="N60" s="103" t="s">
        <v>452</v>
      </c>
      <c r="O60" s="105">
        <v>46263</v>
      </c>
      <c r="P60" s="105">
        <v>46268</v>
      </c>
      <c r="Q60" s="105">
        <v>46269</v>
      </c>
      <c r="R60" s="105">
        <v>46269</v>
      </c>
      <c r="S60" s="105">
        <v>46274</v>
      </c>
      <c r="T60" s="105">
        <v>46287</v>
      </c>
      <c r="U60" s="105">
        <v>46269</v>
      </c>
      <c r="V60" s="105">
        <v>46288</v>
      </c>
      <c r="W60" s="105">
        <v>46288</v>
      </c>
      <c r="X60" s="105">
        <v>46287</v>
      </c>
      <c r="Y60" s="105">
        <v>46288</v>
      </c>
      <c r="Z60" s="105">
        <v>46288</v>
      </c>
      <c r="AA60" s="103" t="s">
        <v>616</v>
      </c>
      <c r="AB60" s="105">
        <v>46288</v>
      </c>
      <c r="AC60" s="105">
        <v>46289</v>
      </c>
      <c r="AD60" s="103" t="s">
        <v>365</v>
      </c>
      <c r="AE60" s="106" t="s">
        <v>112</v>
      </c>
    </row>
    <row r="61" spans="1:31" x14ac:dyDescent="0.25">
      <c r="A61" s="103" t="s">
        <v>109</v>
      </c>
      <c r="B61" s="104" t="s">
        <v>110</v>
      </c>
      <c r="C61" s="103" t="s">
        <v>617</v>
      </c>
      <c r="D61" s="103" t="s">
        <v>311</v>
      </c>
      <c r="E61" s="103">
        <v>24791.2</v>
      </c>
      <c r="F61" s="103" t="s">
        <v>312</v>
      </c>
      <c r="G61" s="103" t="s">
        <v>393</v>
      </c>
      <c r="H61" s="103" t="s">
        <v>592</v>
      </c>
      <c r="I61" s="103" t="s">
        <v>315</v>
      </c>
      <c r="J61" s="103" t="s">
        <v>593</v>
      </c>
      <c r="K61" s="103" t="s">
        <v>594</v>
      </c>
      <c r="L61" s="103" t="s">
        <v>350</v>
      </c>
      <c r="M61" s="103" t="s">
        <v>595</v>
      </c>
      <c r="N61" s="103" t="s">
        <v>452</v>
      </c>
      <c r="O61" s="105">
        <v>46263</v>
      </c>
      <c r="P61" s="105">
        <v>46268</v>
      </c>
      <c r="Q61" s="105">
        <v>46269</v>
      </c>
      <c r="R61" s="105">
        <v>46269</v>
      </c>
      <c r="S61" s="105">
        <v>46274</v>
      </c>
      <c r="T61" s="105">
        <v>46287</v>
      </c>
      <c r="U61" s="105">
        <v>46269</v>
      </c>
      <c r="V61" s="105">
        <v>46288</v>
      </c>
      <c r="W61" s="105">
        <v>46288</v>
      </c>
      <c r="X61" s="105">
        <v>46287</v>
      </c>
      <c r="Y61" s="105">
        <v>46287</v>
      </c>
      <c r="Z61" s="105">
        <v>46287</v>
      </c>
      <c r="AA61" s="103" t="s">
        <v>618</v>
      </c>
      <c r="AB61" s="105">
        <v>46288</v>
      </c>
      <c r="AC61" s="105">
        <v>46289</v>
      </c>
      <c r="AD61" s="103" t="s">
        <v>365</v>
      </c>
      <c r="AE61" s="106" t="s">
        <v>112</v>
      </c>
    </row>
    <row r="62" spans="1:31" x14ac:dyDescent="0.25">
      <c r="A62" s="103" t="s">
        <v>109</v>
      </c>
      <c r="B62" s="104" t="s">
        <v>110</v>
      </c>
      <c r="C62" s="103" t="s">
        <v>619</v>
      </c>
      <c r="D62" s="103" t="s">
        <v>311</v>
      </c>
      <c r="E62" s="103">
        <v>24791.2</v>
      </c>
      <c r="F62" s="103" t="s">
        <v>312</v>
      </c>
      <c r="G62" s="103" t="s">
        <v>393</v>
      </c>
      <c r="H62" s="103" t="s">
        <v>592</v>
      </c>
      <c r="I62" s="103" t="s">
        <v>315</v>
      </c>
      <c r="J62" s="103" t="s">
        <v>593</v>
      </c>
      <c r="K62" s="103" t="s">
        <v>594</v>
      </c>
      <c r="L62" s="103" t="s">
        <v>350</v>
      </c>
      <c r="M62" s="103" t="s">
        <v>595</v>
      </c>
      <c r="N62" s="103" t="s">
        <v>452</v>
      </c>
      <c r="O62" s="105">
        <v>46263</v>
      </c>
      <c r="P62" s="105">
        <v>46268</v>
      </c>
      <c r="Q62" s="105">
        <v>46269</v>
      </c>
      <c r="R62" s="105">
        <v>46269</v>
      </c>
      <c r="S62" s="105">
        <v>46274</v>
      </c>
      <c r="T62" s="105">
        <v>46287</v>
      </c>
      <c r="U62" s="105">
        <v>46269</v>
      </c>
      <c r="V62" s="105">
        <v>46288</v>
      </c>
      <c r="W62" s="105">
        <v>46288</v>
      </c>
      <c r="X62" s="105">
        <v>46287</v>
      </c>
      <c r="Y62" s="105">
        <v>46289</v>
      </c>
      <c r="Z62" s="105">
        <v>46289</v>
      </c>
      <c r="AA62" s="103" t="s">
        <v>620</v>
      </c>
      <c r="AB62" s="105">
        <v>46290</v>
      </c>
      <c r="AC62" s="105">
        <v>46290</v>
      </c>
      <c r="AD62" s="103" t="s">
        <v>365</v>
      </c>
      <c r="AE62" s="106" t="s">
        <v>112</v>
      </c>
    </row>
    <row r="63" spans="1:31" x14ac:dyDescent="0.25">
      <c r="A63" s="103" t="s">
        <v>109</v>
      </c>
      <c r="B63" s="104" t="s">
        <v>110</v>
      </c>
      <c r="C63" s="103" t="s">
        <v>621</v>
      </c>
      <c r="D63" s="103" t="s">
        <v>311</v>
      </c>
      <c r="E63" s="103">
        <v>24791.2</v>
      </c>
      <c r="F63" s="103" t="s">
        <v>312</v>
      </c>
      <c r="G63" s="103" t="s">
        <v>393</v>
      </c>
      <c r="H63" s="103" t="s">
        <v>592</v>
      </c>
      <c r="I63" s="103" t="s">
        <v>315</v>
      </c>
      <c r="J63" s="103" t="s">
        <v>593</v>
      </c>
      <c r="K63" s="103" t="s">
        <v>594</v>
      </c>
      <c r="L63" s="103" t="s">
        <v>350</v>
      </c>
      <c r="M63" s="103" t="s">
        <v>595</v>
      </c>
      <c r="N63" s="103" t="s">
        <v>452</v>
      </c>
      <c r="O63" s="105">
        <v>46263</v>
      </c>
      <c r="P63" s="105">
        <v>46268</v>
      </c>
      <c r="Q63" s="105">
        <v>46269</v>
      </c>
      <c r="R63" s="105">
        <v>46269</v>
      </c>
      <c r="S63" s="105">
        <v>46274</v>
      </c>
      <c r="T63" s="105">
        <v>46287</v>
      </c>
      <c r="U63" s="105">
        <v>46269</v>
      </c>
      <c r="V63" s="105">
        <v>46288</v>
      </c>
      <c r="W63" s="105">
        <v>46288</v>
      </c>
      <c r="X63" s="105">
        <v>46287</v>
      </c>
      <c r="Y63" s="105">
        <v>46289</v>
      </c>
      <c r="Z63" s="105">
        <v>46289</v>
      </c>
      <c r="AA63" s="103" t="s">
        <v>622</v>
      </c>
      <c r="AB63" s="105">
        <v>46290</v>
      </c>
      <c r="AC63" s="105">
        <v>46290</v>
      </c>
      <c r="AD63" s="103" t="s">
        <v>365</v>
      </c>
      <c r="AE63" s="106" t="s">
        <v>112</v>
      </c>
    </row>
    <row r="64" spans="1:31" x14ac:dyDescent="0.25">
      <c r="A64" s="103" t="s">
        <v>109</v>
      </c>
      <c r="B64" s="104" t="s">
        <v>110</v>
      </c>
      <c r="C64" s="103" t="s">
        <v>623</v>
      </c>
      <c r="D64" s="103" t="s">
        <v>311</v>
      </c>
      <c r="E64" s="103">
        <v>24791.2</v>
      </c>
      <c r="F64" s="103" t="s">
        <v>312</v>
      </c>
      <c r="G64" s="103" t="s">
        <v>393</v>
      </c>
      <c r="H64" s="103" t="s">
        <v>592</v>
      </c>
      <c r="I64" s="103" t="s">
        <v>315</v>
      </c>
      <c r="J64" s="103" t="s">
        <v>593</v>
      </c>
      <c r="K64" s="103" t="s">
        <v>594</v>
      </c>
      <c r="L64" s="103" t="s">
        <v>350</v>
      </c>
      <c r="M64" s="103" t="s">
        <v>595</v>
      </c>
      <c r="N64" s="103" t="s">
        <v>452</v>
      </c>
      <c r="O64" s="105">
        <v>46263</v>
      </c>
      <c r="P64" s="105">
        <v>46268</v>
      </c>
      <c r="Q64" s="105">
        <v>46269</v>
      </c>
      <c r="R64" s="105">
        <v>46269</v>
      </c>
      <c r="S64" s="105">
        <v>46274</v>
      </c>
      <c r="T64" s="105">
        <v>46287</v>
      </c>
      <c r="U64" s="105">
        <v>46269</v>
      </c>
      <c r="V64" s="105">
        <v>46288</v>
      </c>
      <c r="W64" s="105">
        <v>46288</v>
      </c>
      <c r="X64" s="105">
        <v>46287</v>
      </c>
      <c r="Y64" s="105">
        <v>46289</v>
      </c>
      <c r="Z64" s="105">
        <v>46289</v>
      </c>
      <c r="AA64" s="103" t="s">
        <v>624</v>
      </c>
      <c r="AB64" s="105">
        <v>46290</v>
      </c>
      <c r="AC64" s="105">
        <v>46290</v>
      </c>
      <c r="AD64" s="103" t="s">
        <v>365</v>
      </c>
      <c r="AE64" s="106" t="s">
        <v>112</v>
      </c>
    </row>
    <row r="65" spans="1:31" x14ac:dyDescent="0.25">
      <c r="A65" s="103">
        <v>2608143</v>
      </c>
      <c r="B65" s="104" t="s">
        <v>114</v>
      </c>
      <c r="C65" s="103" t="s">
        <v>625</v>
      </c>
      <c r="D65" s="103" t="s">
        <v>311</v>
      </c>
      <c r="E65" s="103">
        <v>9790</v>
      </c>
      <c r="F65" s="103" t="s">
        <v>312</v>
      </c>
      <c r="G65" s="103" t="s">
        <v>313</v>
      </c>
      <c r="H65" s="103" t="s">
        <v>626</v>
      </c>
      <c r="I65" s="103" t="s">
        <v>315</v>
      </c>
      <c r="J65" s="103" t="s">
        <v>627</v>
      </c>
      <c r="K65" s="103" t="s">
        <v>628</v>
      </c>
      <c r="L65" s="103" t="s">
        <v>445</v>
      </c>
      <c r="M65" s="103" t="s">
        <v>629</v>
      </c>
      <c r="N65" s="103" t="s">
        <v>630</v>
      </c>
      <c r="O65" s="105">
        <v>46227</v>
      </c>
      <c r="P65" s="105">
        <v>46261</v>
      </c>
      <c r="Q65" s="105">
        <v>46262</v>
      </c>
      <c r="R65" s="105">
        <v>46270</v>
      </c>
      <c r="S65" s="105">
        <v>46270</v>
      </c>
      <c r="T65" s="105">
        <v>46284</v>
      </c>
      <c r="U65" s="105">
        <v>46275</v>
      </c>
      <c r="V65" s="105">
        <v>46286</v>
      </c>
      <c r="W65" s="105">
        <v>46286</v>
      </c>
      <c r="X65" s="105">
        <v>46284</v>
      </c>
      <c r="Y65" s="105">
        <v>46284</v>
      </c>
      <c r="Z65" s="105">
        <v>46284</v>
      </c>
      <c r="AA65" s="103" t="s">
        <v>587</v>
      </c>
      <c r="AB65" s="105">
        <v>46286</v>
      </c>
      <c r="AC65" s="105">
        <v>46286</v>
      </c>
      <c r="AD65" s="103" t="s">
        <v>489</v>
      </c>
      <c r="AE65" s="106" t="s">
        <v>116</v>
      </c>
    </row>
    <row r="66" spans="1:31" x14ac:dyDescent="0.25">
      <c r="A66" s="103" t="s">
        <v>117</v>
      </c>
      <c r="B66" s="104" t="s">
        <v>118</v>
      </c>
      <c r="C66" s="103" t="s">
        <v>631</v>
      </c>
      <c r="D66" s="103" t="s">
        <v>311</v>
      </c>
      <c r="E66" s="103">
        <v>24620</v>
      </c>
      <c r="F66" s="103" t="s">
        <v>312</v>
      </c>
      <c r="G66" s="103" t="s">
        <v>393</v>
      </c>
      <c r="H66" s="103" t="s">
        <v>632</v>
      </c>
      <c r="I66" s="103" t="s">
        <v>315</v>
      </c>
      <c r="J66" s="103" t="s">
        <v>428</v>
      </c>
      <c r="K66" s="103" t="s">
        <v>360</v>
      </c>
      <c r="L66" s="103" t="s">
        <v>361</v>
      </c>
      <c r="M66" s="103" t="s">
        <v>511</v>
      </c>
      <c r="N66" s="103" t="s">
        <v>633</v>
      </c>
      <c r="O66" s="105">
        <v>46248</v>
      </c>
      <c r="P66" s="105">
        <v>46254</v>
      </c>
      <c r="Q66" s="105">
        <v>46255</v>
      </c>
      <c r="R66" s="105">
        <v>46255</v>
      </c>
      <c r="S66" s="105">
        <v>46255</v>
      </c>
      <c r="T66" s="105">
        <v>46256</v>
      </c>
      <c r="U66" s="105">
        <v>46258</v>
      </c>
      <c r="V66" s="105">
        <v>46266</v>
      </c>
      <c r="W66" s="105">
        <v>46266</v>
      </c>
      <c r="X66" s="105">
        <v>46256</v>
      </c>
      <c r="Y66" s="105">
        <v>46286</v>
      </c>
      <c r="Z66" s="105">
        <v>46286</v>
      </c>
      <c r="AA66" s="103" t="s">
        <v>634</v>
      </c>
      <c r="AB66" s="105">
        <v>46287</v>
      </c>
      <c r="AC66" s="105">
        <v>46287</v>
      </c>
      <c r="AD66" s="103" t="s">
        <v>342</v>
      </c>
      <c r="AE66" s="106" t="s">
        <v>20</v>
      </c>
    </row>
    <row r="67" spans="1:31" x14ac:dyDescent="0.25">
      <c r="A67" s="103" t="s">
        <v>635</v>
      </c>
      <c r="B67" s="104" t="s">
        <v>121</v>
      </c>
      <c r="C67" s="103" t="s">
        <v>636</v>
      </c>
      <c r="D67" s="103" t="s">
        <v>311</v>
      </c>
      <c r="E67" s="103">
        <v>19630</v>
      </c>
      <c r="F67" s="103" t="s">
        <v>312</v>
      </c>
      <c r="G67" s="103" t="s">
        <v>393</v>
      </c>
      <c r="H67" s="103" t="s">
        <v>637</v>
      </c>
      <c r="I67" s="103" t="s">
        <v>315</v>
      </c>
      <c r="J67" s="103" t="s">
        <v>428</v>
      </c>
      <c r="K67" s="103" t="s">
        <v>360</v>
      </c>
      <c r="L67" s="103" t="s">
        <v>361</v>
      </c>
      <c r="M67" s="103" t="s">
        <v>511</v>
      </c>
      <c r="N67" s="103" t="s">
        <v>633</v>
      </c>
      <c r="O67" s="105">
        <v>46248</v>
      </c>
      <c r="P67" s="105">
        <v>46254</v>
      </c>
      <c r="Q67" s="105">
        <v>46255</v>
      </c>
      <c r="R67" s="105">
        <v>46255</v>
      </c>
      <c r="S67" s="105">
        <v>46255</v>
      </c>
      <c r="T67" s="105">
        <v>46256</v>
      </c>
      <c r="U67" s="105">
        <v>46255</v>
      </c>
      <c r="V67" s="105">
        <v>46266</v>
      </c>
      <c r="W67" s="105">
        <v>46266</v>
      </c>
      <c r="X67" s="105">
        <v>46256</v>
      </c>
      <c r="Y67" s="105">
        <v>46286</v>
      </c>
      <c r="Z67" s="105">
        <v>46286</v>
      </c>
      <c r="AA67" s="103" t="s">
        <v>638</v>
      </c>
      <c r="AB67" s="105">
        <v>46287</v>
      </c>
      <c r="AC67" s="105">
        <v>46287</v>
      </c>
      <c r="AD67" s="103" t="s">
        <v>342</v>
      </c>
      <c r="AE67" s="106" t="s">
        <v>20</v>
      </c>
    </row>
    <row r="68" spans="1:31" x14ac:dyDescent="0.25">
      <c r="A68" s="103" t="s">
        <v>123</v>
      </c>
      <c r="B68" s="104" t="s">
        <v>124</v>
      </c>
      <c r="C68" s="103" t="s">
        <v>639</v>
      </c>
      <c r="D68" s="103" t="s">
        <v>311</v>
      </c>
      <c r="E68" s="103">
        <v>18620</v>
      </c>
      <c r="F68" s="103" t="s">
        <v>312</v>
      </c>
      <c r="G68" s="103" t="s">
        <v>393</v>
      </c>
      <c r="H68" s="103" t="s">
        <v>640</v>
      </c>
      <c r="I68" s="103" t="s">
        <v>315</v>
      </c>
      <c r="J68" s="103" t="s">
        <v>641</v>
      </c>
      <c r="K68" s="103" t="s">
        <v>642</v>
      </c>
      <c r="L68" s="103" t="s">
        <v>379</v>
      </c>
      <c r="M68" s="103" t="s">
        <v>643</v>
      </c>
      <c r="N68" s="103" t="s">
        <v>644</v>
      </c>
      <c r="O68" s="105">
        <v>46260</v>
      </c>
      <c r="P68" s="105">
        <v>46262</v>
      </c>
      <c r="Q68" s="105">
        <v>46263</v>
      </c>
      <c r="R68" s="105">
        <v>46263</v>
      </c>
      <c r="S68" s="105">
        <v>46263</v>
      </c>
      <c r="T68" s="105">
        <v>46286</v>
      </c>
      <c r="U68" s="105">
        <v>46282</v>
      </c>
      <c r="V68" s="105">
        <v>46288</v>
      </c>
      <c r="W68" s="105">
        <v>46288</v>
      </c>
      <c r="X68" s="105">
        <v>46286</v>
      </c>
      <c r="Y68" s="105">
        <v>46286</v>
      </c>
      <c r="Z68" s="105">
        <v>46286</v>
      </c>
      <c r="AA68" s="103" t="s">
        <v>645</v>
      </c>
      <c r="AB68" s="105">
        <v>46287</v>
      </c>
      <c r="AC68" s="105">
        <v>46288</v>
      </c>
      <c r="AD68" s="103" t="s">
        <v>407</v>
      </c>
      <c r="AE68" s="106" t="s">
        <v>126</v>
      </c>
    </row>
    <row r="69" spans="1:31" x14ac:dyDescent="0.25">
      <c r="A69" s="103" t="s">
        <v>127</v>
      </c>
      <c r="B69" s="104" t="s">
        <v>128</v>
      </c>
      <c r="C69" s="103" t="s">
        <v>646</v>
      </c>
      <c r="D69" s="103" t="s">
        <v>311</v>
      </c>
      <c r="E69" s="103">
        <v>25650</v>
      </c>
      <c r="F69" s="103" t="s">
        <v>312</v>
      </c>
      <c r="G69" s="103" t="s">
        <v>393</v>
      </c>
      <c r="H69" s="103" t="s">
        <v>647</v>
      </c>
      <c r="I69" s="103" t="s">
        <v>315</v>
      </c>
      <c r="J69" s="103" t="s">
        <v>648</v>
      </c>
      <c r="K69" s="103" t="s">
        <v>360</v>
      </c>
      <c r="L69" s="103" t="s">
        <v>459</v>
      </c>
      <c r="M69" s="103" t="s">
        <v>649</v>
      </c>
      <c r="N69" s="103" t="s">
        <v>650</v>
      </c>
      <c r="O69" s="105">
        <v>46240</v>
      </c>
      <c r="P69" s="105">
        <v>46250</v>
      </c>
      <c r="Q69" s="105">
        <v>46251</v>
      </c>
      <c r="R69" s="105">
        <v>46251</v>
      </c>
      <c r="S69" s="105">
        <v>46260</v>
      </c>
      <c r="T69" s="105">
        <v>46260</v>
      </c>
      <c r="U69" s="105">
        <v>46254</v>
      </c>
      <c r="V69" s="105">
        <v>46266</v>
      </c>
      <c r="W69" s="105">
        <v>46266</v>
      </c>
      <c r="X69" s="105">
        <v>46260</v>
      </c>
      <c r="Y69" s="105">
        <v>46279</v>
      </c>
      <c r="Z69" s="105">
        <v>46279</v>
      </c>
      <c r="AA69" s="103" t="s">
        <v>651</v>
      </c>
      <c r="AB69" s="105">
        <v>46279</v>
      </c>
      <c r="AC69" s="105">
        <v>46285</v>
      </c>
      <c r="AD69" s="103" t="s">
        <v>415</v>
      </c>
      <c r="AE69" s="106" t="s">
        <v>130</v>
      </c>
    </row>
    <row r="70" spans="1:31" x14ac:dyDescent="0.25">
      <c r="A70" s="103" t="s">
        <v>127</v>
      </c>
      <c r="B70" s="104" t="s">
        <v>128</v>
      </c>
      <c r="C70" s="103" t="s">
        <v>652</v>
      </c>
      <c r="D70" s="103" t="s">
        <v>311</v>
      </c>
      <c r="E70" s="103">
        <v>25250</v>
      </c>
      <c r="F70" s="103" t="s">
        <v>312</v>
      </c>
      <c r="G70" s="103" t="s">
        <v>393</v>
      </c>
      <c r="H70" s="103" t="s">
        <v>647</v>
      </c>
      <c r="I70" s="103" t="s">
        <v>315</v>
      </c>
      <c r="J70" s="103" t="s">
        <v>648</v>
      </c>
      <c r="K70" s="103" t="s">
        <v>360</v>
      </c>
      <c r="L70" s="103" t="s">
        <v>459</v>
      </c>
      <c r="M70" s="103" t="s">
        <v>649</v>
      </c>
      <c r="N70" s="103" t="s">
        <v>650</v>
      </c>
      <c r="O70" s="105">
        <v>46240</v>
      </c>
      <c r="P70" s="105">
        <v>46250</v>
      </c>
      <c r="Q70" s="105">
        <v>46251</v>
      </c>
      <c r="R70" s="105">
        <v>46251</v>
      </c>
      <c r="S70" s="105">
        <v>46260</v>
      </c>
      <c r="T70" s="105">
        <v>46260</v>
      </c>
      <c r="U70" s="105">
        <v>46254</v>
      </c>
      <c r="V70" s="105">
        <v>46266</v>
      </c>
      <c r="W70" s="105">
        <v>46266</v>
      </c>
      <c r="X70" s="105">
        <v>46260</v>
      </c>
      <c r="Y70" s="105">
        <v>46279</v>
      </c>
      <c r="Z70" s="105">
        <v>46279</v>
      </c>
      <c r="AA70" s="103" t="s">
        <v>653</v>
      </c>
      <c r="AB70" s="105">
        <v>46279</v>
      </c>
      <c r="AC70" s="105">
        <v>46288</v>
      </c>
      <c r="AD70" s="103" t="s">
        <v>415</v>
      </c>
      <c r="AE70" s="106" t="s">
        <v>130</v>
      </c>
    </row>
    <row r="71" spans="1:31" x14ac:dyDescent="0.25">
      <c r="A71" s="103" t="s">
        <v>127</v>
      </c>
      <c r="B71" s="104" t="s">
        <v>128</v>
      </c>
      <c r="C71" s="103" t="s">
        <v>654</v>
      </c>
      <c r="D71" s="103" t="s">
        <v>311</v>
      </c>
      <c r="E71" s="103">
        <v>25650</v>
      </c>
      <c r="F71" s="103" t="s">
        <v>312</v>
      </c>
      <c r="G71" s="103" t="s">
        <v>393</v>
      </c>
      <c r="H71" s="103" t="s">
        <v>647</v>
      </c>
      <c r="I71" s="103" t="s">
        <v>315</v>
      </c>
      <c r="J71" s="103" t="s">
        <v>648</v>
      </c>
      <c r="K71" s="103" t="s">
        <v>360</v>
      </c>
      <c r="L71" s="103" t="s">
        <v>459</v>
      </c>
      <c r="M71" s="103" t="s">
        <v>649</v>
      </c>
      <c r="N71" s="103" t="s">
        <v>650</v>
      </c>
      <c r="O71" s="105">
        <v>46240</v>
      </c>
      <c r="P71" s="105">
        <v>46250</v>
      </c>
      <c r="Q71" s="105">
        <v>46251</v>
      </c>
      <c r="R71" s="105">
        <v>46251</v>
      </c>
      <c r="S71" s="105">
        <v>46260</v>
      </c>
      <c r="T71" s="105">
        <v>46260</v>
      </c>
      <c r="U71" s="105">
        <v>46254</v>
      </c>
      <c r="V71" s="105">
        <v>46266</v>
      </c>
      <c r="W71" s="105">
        <v>46266</v>
      </c>
      <c r="X71" s="105">
        <v>46260</v>
      </c>
      <c r="Y71" s="105">
        <v>46279</v>
      </c>
      <c r="Z71" s="105">
        <v>46279</v>
      </c>
      <c r="AA71" s="103" t="s">
        <v>655</v>
      </c>
      <c r="AB71" s="105">
        <v>46279</v>
      </c>
      <c r="AC71" s="105">
        <v>46288</v>
      </c>
      <c r="AD71" s="103" t="s">
        <v>415</v>
      </c>
      <c r="AE71" s="106" t="s">
        <v>130</v>
      </c>
    </row>
    <row r="72" spans="1:32" x14ac:dyDescent="0.25">
      <c r="A72" s="103" t="s">
        <v>131</v>
      </c>
      <c r="B72" s="104" t="s">
        <v>132</v>
      </c>
      <c r="C72" s="103" t="s">
        <v>656</v>
      </c>
      <c r="D72" s="103" t="s">
        <v>311</v>
      </c>
      <c r="E72" s="103">
        <v>25750</v>
      </c>
      <c r="F72" s="103" t="s">
        <v>312</v>
      </c>
      <c r="G72" s="103" t="s">
        <v>393</v>
      </c>
      <c r="H72" s="103" t="s">
        <v>657</v>
      </c>
      <c r="I72" s="103" t="s">
        <v>315</v>
      </c>
      <c r="J72" s="103" t="s">
        <v>648</v>
      </c>
      <c r="K72" s="103" t="s">
        <v>360</v>
      </c>
      <c r="L72" s="103" t="s">
        <v>422</v>
      </c>
      <c r="M72" s="103" t="s">
        <v>658</v>
      </c>
      <c r="N72" s="103" t="s">
        <v>352</v>
      </c>
      <c r="O72" s="105">
        <v>46240</v>
      </c>
      <c r="P72" s="105">
        <v>46262</v>
      </c>
      <c r="Q72" s="105">
        <v>46263</v>
      </c>
      <c r="R72" s="105">
        <v>46255</v>
      </c>
      <c r="S72" s="105">
        <v>46257</v>
      </c>
      <c r="T72" s="105">
        <v>46260</v>
      </c>
      <c r="U72" s="105">
        <v>46261</v>
      </c>
      <c r="V72" s="105">
        <v>46272</v>
      </c>
      <c r="W72" s="105">
        <v>46272</v>
      </c>
      <c r="X72" s="105">
        <v>46260</v>
      </c>
      <c r="Y72" s="105">
        <v>46281</v>
      </c>
      <c r="Z72" s="105">
        <v>46281</v>
      </c>
      <c r="AA72" s="103" t="s">
        <v>659</v>
      </c>
      <c r="AB72" s="105">
        <v>46281</v>
      </c>
      <c r="AC72" s="105">
        <v>46282</v>
      </c>
      <c r="AD72" s="103" t="s">
        <v>431</v>
      </c>
      <c r="AE72" s="106" t="s">
        <v>660</v>
      </c>
      <c r="AF72" t="s">
        <v>661</v>
      </c>
    </row>
    <row r="73" spans="1:31" x14ac:dyDescent="0.25">
      <c r="A73" s="103" t="s">
        <v>135</v>
      </c>
      <c r="B73" s="104" t="s">
        <v>136</v>
      </c>
      <c r="C73" s="103" t="s">
        <v>662</v>
      </c>
      <c r="D73" s="103" t="s">
        <v>311</v>
      </c>
      <c r="E73" s="103">
        <v>25566</v>
      </c>
      <c r="F73" s="103" t="s">
        <v>312</v>
      </c>
      <c r="G73" s="103" t="s">
        <v>393</v>
      </c>
      <c r="H73" s="103" t="s">
        <v>663</v>
      </c>
      <c r="I73" s="103" t="s">
        <v>315</v>
      </c>
      <c r="J73" s="103" t="s">
        <v>485</v>
      </c>
      <c r="K73" s="103" t="s">
        <v>360</v>
      </c>
      <c r="L73" s="103" t="s">
        <v>486</v>
      </c>
      <c r="M73" s="103" t="s">
        <v>664</v>
      </c>
      <c r="N73" s="103" t="s">
        <v>665</v>
      </c>
      <c r="O73" s="105">
        <v>46240</v>
      </c>
      <c r="P73" s="105">
        <v>46255</v>
      </c>
      <c r="Q73" s="105">
        <v>46256</v>
      </c>
      <c r="R73" s="105">
        <v>46260</v>
      </c>
      <c r="S73" s="105">
        <v>46260</v>
      </c>
      <c r="T73" s="105">
        <v>46269</v>
      </c>
      <c r="U73" s="105">
        <v>46267</v>
      </c>
      <c r="V73" s="105">
        <v>46272</v>
      </c>
      <c r="W73" s="105">
        <v>46272</v>
      </c>
      <c r="X73" s="105">
        <v>46269</v>
      </c>
      <c r="Y73" s="105">
        <v>46286</v>
      </c>
      <c r="Z73" s="105">
        <v>46286</v>
      </c>
      <c r="AA73" s="103" t="s">
        <v>666</v>
      </c>
      <c r="AB73" s="105">
        <v>46287</v>
      </c>
      <c r="AC73" s="105">
        <v>46290</v>
      </c>
      <c r="AD73" s="103" t="s">
        <v>496</v>
      </c>
      <c r="AE73" s="106" t="s">
        <v>138</v>
      </c>
    </row>
    <row r="74" spans="1:31" x14ac:dyDescent="0.25">
      <c r="A74" s="103" t="s">
        <v>139</v>
      </c>
      <c r="B74" s="104">
        <v>272272022</v>
      </c>
      <c r="C74" s="103" t="s">
        <v>667</v>
      </c>
      <c r="D74" s="103" t="s">
        <v>311</v>
      </c>
      <c r="E74" s="103">
        <v>22715</v>
      </c>
      <c r="F74" s="103" t="s">
        <v>312</v>
      </c>
      <c r="G74" s="103" t="s">
        <v>500</v>
      </c>
      <c r="H74" s="103" t="s">
        <v>668</v>
      </c>
      <c r="I74" s="103" t="s">
        <v>315</v>
      </c>
      <c r="J74" s="103" t="s">
        <v>669</v>
      </c>
      <c r="K74" s="103" t="s">
        <v>670</v>
      </c>
      <c r="L74" s="103" t="s">
        <v>411</v>
      </c>
      <c r="M74" s="103" t="s">
        <v>671</v>
      </c>
      <c r="N74" s="103" t="s">
        <v>413</v>
      </c>
      <c r="O74" s="105">
        <v>46218</v>
      </c>
      <c r="P74" s="105">
        <v>46264</v>
      </c>
      <c r="Q74" s="105">
        <v>46265</v>
      </c>
      <c r="R74" s="105">
        <v>46265</v>
      </c>
      <c r="S74" s="105">
        <v>46266</v>
      </c>
      <c r="T74" s="105">
        <v>46268</v>
      </c>
      <c r="U74" s="105">
        <v>46275</v>
      </c>
      <c r="V74" s="105">
        <v>46279</v>
      </c>
      <c r="W74" s="105">
        <v>46280</v>
      </c>
      <c r="X74" s="105">
        <v>46275</v>
      </c>
      <c r="Y74" s="105">
        <v>46288</v>
      </c>
      <c r="Z74" s="105">
        <v>46288</v>
      </c>
      <c r="AA74" s="103" t="s">
        <v>672</v>
      </c>
      <c r="AB74" s="105">
        <v>46288</v>
      </c>
      <c r="AC74" s="105">
        <v>46290</v>
      </c>
      <c r="AD74" s="103" t="s">
        <v>407</v>
      </c>
      <c r="AE74" s="106" t="s">
        <v>673</v>
      </c>
    </row>
    <row r="75" spans="1:31" x14ac:dyDescent="0.25">
      <c r="A75" s="103" t="s">
        <v>142</v>
      </c>
      <c r="B75" s="104" t="s">
        <v>143</v>
      </c>
      <c r="C75" s="103" t="s">
        <v>674</v>
      </c>
      <c r="D75" s="103" t="s">
        <v>311</v>
      </c>
      <c r="E75" s="103">
        <v>21460</v>
      </c>
      <c r="F75" s="103" t="s">
        <v>312</v>
      </c>
      <c r="G75" s="103" t="s">
        <v>393</v>
      </c>
      <c r="H75" s="103" t="s">
        <v>657</v>
      </c>
      <c r="I75" s="103" t="s">
        <v>315</v>
      </c>
      <c r="J75" s="103" t="s">
        <v>648</v>
      </c>
      <c r="K75" s="103" t="s">
        <v>360</v>
      </c>
      <c r="L75" s="103" t="s">
        <v>459</v>
      </c>
      <c r="M75" s="103" t="s">
        <v>675</v>
      </c>
      <c r="N75" s="103" t="s">
        <v>650</v>
      </c>
      <c r="O75" s="105">
        <v>46240</v>
      </c>
      <c r="P75" s="105">
        <v>46250</v>
      </c>
      <c r="Q75" s="105">
        <v>46251</v>
      </c>
      <c r="R75" s="105">
        <v>46251</v>
      </c>
      <c r="S75" s="105">
        <v>46252</v>
      </c>
      <c r="T75" s="105">
        <v>46260</v>
      </c>
      <c r="U75" s="105">
        <v>46252</v>
      </c>
      <c r="V75" s="105">
        <v>46260</v>
      </c>
      <c r="W75" s="105">
        <v>46260</v>
      </c>
      <c r="X75" s="105">
        <v>46260</v>
      </c>
      <c r="Y75" s="105">
        <v>46279</v>
      </c>
      <c r="Z75" s="105">
        <v>46279</v>
      </c>
      <c r="AA75" s="103" t="s">
        <v>676</v>
      </c>
      <c r="AB75" s="105">
        <v>46279</v>
      </c>
      <c r="AC75" s="105">
        <v>46285</v>
      </c>
      <c r="AD75" s="103" t="s">
        <v>415</v>
      </c>
      <c r="AE75" s="106" t="s">
        <v>145</v>
      </c>
    </row>
    <row r="76" spans="1:31" x14ac:dyDescent="0.25">
      <c r="A76" s="103" t="s">
        <v>146</v>
      </c>
      <c r="B76" s="104" t="s">
        <v>147</v>
      </c>
      <c r="C76" s="103" t="s">
        <v>677</v>
      </c>
      <c r="D76" s="103" t="s">
        <v>311</v>
      </c>
      <c r="E76" s="103">
        <v>20660</v>
      </c>
      <c r="F76" s="103" t="s">
        <v>312</v>
      </c>
      <c r="G76" s="103" t="s">
        <v>393</v>
      </c>
      <c r="H76" s="103" t="s">
        <v>678</v>
      </c>
      <c r="I76" s="103" t="s">
        <v>315</v>
      </c>
      <c r="J76" s="103" t="s">
        <v>443</v>
      </c>
      <c r="K76" s="103" t="s">
        <v>360</v>
      </c>
      <c r="L76" s="103" t="s">
        <v>555</v>
      </c>
      <c r="M76" s="103" t="s">
        <v>679</v>
      </c>
      <c r="N76" s="103" t="s">
        <v>557</v>
      </c>
      <c r="O76" s="105">
        <v>46231</v>
      </c>
      <c r="P76" s="105">
        <v>46238</v>
      </c>
      <c r="Q76" s="105">
        <v>46239</v>
      </c>
      <c r="R76" s="105">
        <v>46238</v>
      </c>
      <c r="S76" s="105">
        <v>46239</v>
      </c>
      <c r="T76" s="105">
        <v>46248</v>
      </c>
      <c r="U76" s="105">
        <v>46244</v>
      </c>
      <c r="V76" s="105">
        <v>46254</v>
      </c>
      <c r="W76" s="105">
        <v>46254</v>
      </c>
      <c r="X76" s="105">
        <v>46248</v>
      </c>
      <c r="Y76" s="105">
        <v>46279</v>
      </c>
      <c r="Z76" s="105">
        <v>46279</v>
      </c>
      <c r="AA76" s="103" t="s">
        <v>680</v>
      </c>
      <c r="AB76" s="105">
        <v>46281</v>
      </c>
      <c r="AC76" s="105">
        <v>46283</v>
      </c>
      <c r="AD76" s="103" t="s">
        <v>322</v>
      </c>
      <c r="AE76" s="106" t="s">
        <v>149</v>
      </c>
    </row>
    <row r="77" spans="1:31" x14ac:dyDescent="0.25">
      <c r="A77" s="103" t="s">
        <v>150</v>
      </c>
      <c r="B77" s="104" t="s">
        <v>681</v>
      </c>
      <c r="C77" s="103" t="s">
        <v>682</v>
      </c>
      <c r="D77" s="103" t="s">
        <v>311</v>
      </c>
      <c r="E77" s="103">
        <v>17690</v>
      </c>
      <c r="F77" s="103" t="s">
        <v>312</v>
      </c>
      <c r="G77" s="103" t="s">
        <v>500</v>
      </c>
      <c r="H77" s="103">
        <v>28072</v>
      </c>
      <c r="I77" s="103" t="s">
        <v>315</v>
      </c>
      <c r="J77" s="103" t="s">
        <v>683</v>
      </c>
      <c r="K77" s="103" t="s">
        <v>684</v>
      </c>
      <c r="L77" s="103" t="s">
        <v>318</v>
      </c>
      <c r="M77" s="103" t="s">
        <v>685</v>
      </c>
      <c r="N77" s="103" t="s">
        <v>686</v>
      </c>
      <c r="O77" s="105">
        <v>46211</v>
      </c>
      <c r="P77" s="105">
        <v>46254</v>
      </c>
      <c r="Q77" s="105">
        <v>46255</v>
      </c>
      <c r="R77" s="105">
        <v>46264</v>
      </c>
      <c r="S77" s="105">
        <v>46268</v>
      </c>
      <c r="T77" s="105">
        <v>46286</v>
      </c>
      <c r="U77" s="105">
        <v>46270</v>
      </c>
      <c r="V77" s="105">
        <v>46283</v>
      </c>
      <c r="W77" s="105"/>
      <c r="X77" s="105">
        <v>46286</v>
      </c>
      <c r="Y77" s="105">
        <v>46287</v>
      </c>
      <c r="Z77" s="105">
        <v>46287</v>
      </c>
      <c r="AA77" s="103" t="s">
        <v>687</v>
      </c>
      <c r="AB77" s="105">
        <v>46287</v>
      </c>
      <c r="AC77" s="105">
        <v>46288</v>
      </c>
      <c r="AD77" s="103" t="s">
        <v>688</v>
      </c>
      <c r="AE77" s="106" t="s">
        <v>152</v>
      </c>
    </row>
    <row r="78" spans="1:31" x14ac:dyDescent="0.25">
      <c r="A78" s="103" t="s">
        <v>153</v>
      </c>
      <c r="B78" s="104" t="s">
        <v>154</v>
      </c>
      <c r="C78" s="103" t="s">
        <v>689</v>
      </c>
      <c r="D78" s="103" t="s">
        <v>311</v>
      </c>
      <c r="E78" s="103">
        <v>22030</v>
      </c>
      <c r="F78" s="103" t="s">
        <v>312</v>
      </c>
      <c r="G78" s="103" t="s">
        <v>393</v>
      </c>
      <c r="H78" s="103" t="s">
        <v>690</v>
      </c>
      <c r="I78" s="103" t="s">
        <v>315</v>
      </c>
      <c r="J78" s="103" t="s">
        <v>428</v>
      </c>
      <c r="K78" s="103" t="s">
        <v>360</v>
      </c>
      <c r="L78" s="103" t="s">
        <v>361</v>
      </c>
      <c r="M78" s="103" t="s">
        <v>691</v>
      </c>
      <c r="N78" s="103" t="s">
        <v>633</v>
      </c>
      <c r="O78" s="105">
        <v>46248</v>
      </c>
      <c r="P78" s="105">
        <v>46254</v>
      </c>
      <c r="Q78" s="105">
        <v>46255</v>
      </c>
      <c r="R78" s="105">
        <v>46255</v>
      </c>
      <c r="S78" s="105">
        <v>46256</v>
      </c>
      <c r="T78" s="105">
        <v>46256</v>
      </c>
      <c r="U78" s="105">
        <v>46255</v>
      </c>
      <c r="V78" s="105">
        <v>46258</v>
      </c>
      <c r="W78" s="105">
        <v>46258</v>
      </c>
      <c r="X78" s="105">
        <v>46256</v>
      </c>
      <c r="Y78" s="105">
        <v>46286</v>
      </c>
      <c r="Z78" s="105">
        <v>46286</v>
      </c>
      <c r="AA78" s="103" t="s">
        <v>692</v>
      </c>
      <c r="AB78" s="105">
        <v>46287</v>
      </c>
      <c r="AC78" s="105">
        <v>46287</v>
      </c>
      <c r="AD78" s="103" t="s">
        <v>342</v>
      </c>
      <c r="AE78" s="106" t="s">
        <v>20</v>
      </c>
    </row>
    <row r="79" spans="1:31" x14ac:dyDescent="0.25">
      <c r="A79" s="103" t="s">
        <v>156</v>
      </c>
      <c r="B79" s="104" t="s">
        <v>157</v>
      </c>
      <c r="C79" s="103" t="s">
        <v>693</v>
      </c>
      <c r="D79" s="103" t="s">
        <v>311</v>
      </c>
      <c r="E79" s="103">
        <v>24180</v>
      </c>
      <c r="F79" s="103" t="s">
        <v>312</v>
      </c>
      <c r="G79" s="103" t="s">
        <v>393</v>
      </c>
      <c r="H79" s="103" t="s">
        <v>647</v>
      </c>
      <c r="I79" s="103" t="s">
        <v>315</v>
      </c>
      <c r="J79" s="103" t="s">
        <v>648</v>
      </c>
      <c r="K79" s="103" t="s">
        <v>360</v>
      </c>
      <c r="L79" s="103" t="s">
        <v>694</v>
      </c>
      <c r="M79" s="103" t="s">
        <v>695</v>
      </c>
      <c r="N79" s="103" t="s">
        <v>665</v>
      </c>
      <c r="O79" s="105">
        <v>46240</v>
      </c>
      <c r="P79" s="105">
        <v>46255</v>
      </c>
      <c r="Q79" s="105">
        <v>46256</v>
      </c>
      <c r="R79" s="105">
        <v>46258</v>
      </c>
      <c r="S79" s="105">
        <v>46261</v>
      </c>
      <c r="T79" s="105">
        <v>46269</v>
      </c>
      <c r="U79" s="105">
        <v>46263</v>
      </c>
      <c r="V79" s="105">
        <v>46272</v>
      </c>
      <c r="W79" s="105">
        <v>46272</v>
      </c>
      <c r="X79" s="105">
        <v>46269</v>
      </c>
      <c r="Y79" s="105">
        <v>46286</v>
      </c>
      <c r="Z79" s="105">
        <v>46286</v>
      </c>
      <c r="AA79" s="103" t="s">
        <v>696</v>
      </c>
      <c r="AB79" s="105">
        <v>46286</v>
      </c>
      <c r="AC79" s="105">
        <v>46286</v>
      </c>
      <c r="AD79" s="103" t="s">
        <v>407</v>
      </c>
      <c r="AE79" s="106" t="s">
        <v>159</v>
      </c>
    </row>
    <row r="80" spans="1:31" x14ac:dyDescent="0.25">
      <c r="A80" s="103" t="s">
        <v>156</v>
      </c>
      <c r="B80" s="104" t="s">
        <v>157</v>
      </c>
      <c r="C80" s="103" t="s">
        <v>697</v>
      </c>
      <c r="D80" s="103" t="s">
        <v>311</v>
      </c>
      <c r="E80" s="103">
        <v>25100</v>
      </c>
      <c r="F80" s="103" t="s">
        <v>312</v>
      </c>
      <c r="G80" s="103" t="s">
        <v>393</v>
      </c>
      <c r="H80" s="103" t="s">
        <v>647</v>
      </c>
      <c r="I80" s="103" t="s">
        <v>315</v>
      </c>
      <c r="J80" s="103" t="s">
        <v>648</v>
      </c>
      <c r="K80" s="103" t="s">
        <v>360</v>
      </c>
      <c r="L80" s="103" t="s">
        <v>694</v>
      </c>
      <c r="M80" s="103" t="s">
        <v>695</v>
      </c>
      <c r="N80" s="103" t="s">
        <v>665</v>
      </c>
      <c r="O80" s="105">
        <v>46240</v>
      </c>
      <c r="P80" s="105">
        <v>46255</v>
      </c>
      <c r="Q80" s="105">
        <v>46256</v>
      </c>
      <c r="R80" s="105">
        <v>46258</v>
      </c>
      <c r="S80" s="105">
        <v>46261</v>
      </c>
      <c r="T80" s="105">
        <v>46269</v>
      </c>
      <c r="U80" s="105">
        <v>46263</v>
      </c>
      <c r="V80" s="105">
        <v>46272</v>
      </c>
      <c r="W80" s="105">
        <v>46272</v>
      </c>
      <c r="X80" s="105">
        <v>46269</v>
      </c>
      <c r="Y80" s="105">
        <v>46286</v>
      </c>
      <c r="Z80" s="105">
        <v>46286</v>
      </c>
      <c r="AA80" s="103" t="s">
        <v>698</v>
      </c>
      <c r="AB80" s="105">
        <v>46286</v>
      </c>
      <c r="AC80" s="105">
        <v>46286</v>
      </c>
      <c r="AD80" s="103" t="s">
        <v>407</v>
      </c>
      <c r="AE80" s="106" t="s">
        <v>159</v>
      </c>
    </row>
    <row r="81" spans="1:31" x14ac:dyDescent="0.25">
      <c r="A81" s="103" t="s">
        <v>699</v>
      </c>
      <c r="B81" s="104" t="s">
        <v>161</v>
      </c>
      <c r="C81" s="103" t="s">
        <v>700</v>
      </c>
      <c r="D81" s="103" t="s">
        <v>311</v>
      </c>
      <c r="E81" s="103">
        <v>25764</v>
      </c>
      <c r="F81" s="103" t="s">
        <v>312</v>
      </c>
      <c r="G81" s="103" t="s">
        <v>393</v>
      </c>
      <c r="H81" s="103" t="s">
        <v>647</v>
      </c>
      <c r="I81" s="103" t="s">
        <v>315</v>
      </c>
      <c r="J81" s="103" t="s">
        <v>648</v>
      </c>
      <c r="K81" s="103" t="s">
        <v>360</v>
      </c>
      <c r="L81" s="103" t="s">
        <v>350</v>
      </c>
      <c r="M81" s="103" t="s">
        <v>701</v>
      </c>
      <c r="N81" s="103" t="s">
        <v>665</v>
      </c>
      <c r="O81" s="105">
        <v>46240</v>
      </c>
      <c r="P81" s="105">
        <v>46255</v>
      </c>
      <c r="Q81" s="105">
        <v>46256</v>
      </c>
      <c r="R81" s="105">
        <v>46260</v>
      </c>
      <c r="S81" s="105">
        <v>46260</v>
      </c>
      <c r="T81" s="105">
        <v>46274</v>
      </c>
      <c r="U81" s="105">
        <v>46274</v>
      </c>
      <c r="V81" s="105">
        <v>46283</v>
      </c>
      <c r="W81" s="105">
        <v>46283</v>
      </c>
      <c r="X81" s="105">
        <v>46274</v>
      </c>
      <c r="Y81" s="105">
        <v>46286</v>
      </c>
      <c r="Z81" s="105">
        <v>46286</v>
      </c>
      <c r="AA81" s="103" t="s">
        <v>702</v>
      </c>
      <c r="AB81" s="105">
        <v>46286</v>
      </c>
      <c r="AC81" s="105">
        <v>46287</v>
      </c>
      <c r="AD81" s="103" t="s">
        <v>322</v>
      </c>
      <c r="AE81" s="106" t="s">
        <v>138</v>
      </c>
    </row>
    <row r="82" spans="1:31" x14ac:dyDescent="0.25">
      <c r="A82" s="103" t="s">
        <v>163</v>
      </c>
      <c r="B82" s="104" t="s">
        <v>164</v>
      </c>
      <c r="C82" s="103" t="s">
        <v>703</v>
      </c>
      <c r="D82" s="103" t="s">
        <v>311</v>
      </c>
      <c r="E82" s="103">
        <v>17516.81</v>
      </c>
      <c r="F82" s="103" t="s">
        <v>312</v>
      </c>
      <c r="G82" s="103" t="s">
        <v>500</v>
      </c>
      <c r="H82" s="103">
        <v>5860220001</v>
      </c>
      <c r="I82" s="103" t="s">
        <v>315</v>
      </c>
      <c r="J82" s="103" t="s">
        <v>704</v>
      </c>
      <c r="K82" s="103" t="s">
        <v>705</v>
      </c>
      <c r="L82" s="103" t="s">
        <v>706</v>
      </c>
      <c r="M82" s="103" t="s">
        <v>707</v>
      </c>
      <c r="N82" s="103" t="s">
        <v>665</v>
      </c>
      <c r="O82" s="105">
        <v>46268</v>
      </c>
      <c r="P82" s="105">
        <v>46259</v>
      </c>
      <c r="Q82" s="105">
        <v>46260</v>
      </c>
      <c r="R82" s="105">
        <v>46261</v>
      </c>
      <c r="S82" s="105">
        <v>46263</v>
      </c>
      <c r="T82" s="105">
        <v>46286</v>
      </c>
      <c r="U82" s="105">
        <v>46270</v>
      </c>
      <c r="V82" s="105">
        <v>46283</v>
      </c>
      <c r="W82" s="105">
        <v>46287</v>
      </c>
      <c r="X82" s="105">
        <v>46286</v>
      </c>
      <c r="Y82" s="105">
        <v>46286</v>
      </c>
      <c r="Z82" s="105">
        <v>46286</v>
      </c>
      <c r="AA82" s="103" t="s">
        <v>708</v>
      </c>
      <c r="AB82" s="105">
        <v>46287</v>
      </c>
      <c r="AC82" s="105">
        <v>46287</v>
      </c>
      <c r="AD82" s="103" t="s">
        <v>399</v>
      </c>
      <c r="AE82" s="106" t="s">
        <v>166</v>
      </c>
    </row>
    <row r="83" spans="1:31" x14ac:dyDescent="0.25">
      <c r="A83" s="103" t="s">
        <v>167</v>
      </c>
      <c r="B83" s="104" t="s">
        <v>168</v>
      </c>
      <c r="C83" s="103" t="s">
        <v>709</v>
      </c>
      <c r="D83" s="103" t="s">
        <v>311</v>
      </c>
      <c r="E83" s="103">
        <v>25250</v>
      </c>
      <c r="F83" s="103" t="s">
        <v>312</v>
      </c>
      <c r="G83" s="103" t="s">
        <v>393</v>
      </c>
      <c r="H83" s="103" t="s">
        <v>710</v>
      </c>
      <c r="I83" s="103" t="s">
        <v>315</v>
      </c>
      <c r="J83" s="103" t="s">
        <v>648</v>
      </c>
      <c r="K83" s="103" t="s">
        <v>360</v>
      </c>
      <c r="L83" s="103" t="s">
        <v>694</v>
      </c>
      <c r="M83" s="103" t="s">
        <v>711</v>
      </c>
      <c r="N83" s="103" t="s">
        <v>712</v>
      </c>
      <c r="O83" s="105">
        <v>46225</v>
      </c>
      <c r="P83" s="105">
        <v>46244</v>
      </c>
      <c r="Q83" s="105">
        <v>46245</v>
      </c>
      <c r="R83" s="105">
        <v>46237</v>
      </c>
      <c r="S83" s="105">
        <v>46238</v>
      </c>
      <c r="T83" s="105">
        <v>46245</v>
      </c>
      <c r="U83" s="105">
        <v>46246</v>
      </c>
      <c r="V83" s="105">
        <v>46260</v>
      </c>
      <c r="W83" s="105">
        <v>46260</v>
      </c>
      <c r="X83" s="105">
        <v>46245</v>
      </c>
      <c r="Y83" s="105">
        <v>46279</v>
      </c>
      <c r="Z83" s="105">
        <v>46279</v>
      </c>
      <c r="AA83" s="103" t="s">
        <v>713</v>
      </c>
      <c r="AB83" s="105">
        <v>46279</v>
      </c>
      <c r="AC83" s="105">
        <v>46287</v>
      </c>
      <c r="AD83" s="103" t="s">
        <v>588</v>
      </c>
      <c r="AE83" s="106" t="s">
        <v>170</v>
      </c>
    </row>
    <row r="84" spans="1:31" x14ac:dyDescent="0.25">
      <c r="A84" s="103" t="s">
        <v>171</v>
      </c>
      <c r="B84" s="104" t="s">
        <v>172</v>
      </c>
      <c r="C84" s="103" t="s">
        <v>714</v>
      </c>
      <c r="D84" s="103" t="s">
        <v>311</v>
      </c>
      <c r="E84" s="103">
        <v>26192</v>
      </c>
      <c r="F84" s="103" t="s">
        <v>334</v>
      </c>
      <c r="G84" s="103" t="s">
        <v>393</v>
      </c>
      <c r="H84" s="103" t="s">
        <v>715</v>
      </c>
      <c r="I84" s="103" t="s">
        <v>315</v>
      </c>
      <c r="J84" s="103" t="s">
        <v>716</v>
      </c>
      <c r="K84" s="103" t="s">
        <v>717</v>
      </c>
      <c r="L84" s="103" t="s">
        <v>437</v>
      </c>
      <c r="M84" s="103" t="s">
        <v>718</v>
      </c>
      <c r="N84" s="103" t="s">
        <v>650</v>
      </c>
      <c r="O84" s="105">
        <v>46240</v>
      </c>
      <c r="P84" s="105">
        <v>46250</v>
      </c>
      <c r="Q84" s="105">
        <v>46251</v>
      </c>
      <c r="R84" s="105">
        <v>46251</v>
      </c>
      <c r="S84" s="105">
        <v>46254</v>
      </c>
      <c r="T84" s="105">
        <v>46258</v>
      </c>
      <c r="U84" s="105">
        <v>46254</v>
      </c>
      <c r="V84" s="105">
        <v>46261</v>
      </c>
      <c r="W84" s="105">
        <v>46262</v>
      </c>
      <c r="X84" s="105">
        <v>46258</v>
      </c>
      <c r="Y84" s="105">
        <v>46279</v>
      </c>
      <c r="Z84" s="105">
        <v>46279</v>
      </c>
      <c r="AA84" s="103" t="s">
        <v>719</v>
      </c>
      <c r="AB84" s="105">
        <v>46279</v>
      </c>
      <c r="AC84" s="105">
        <v>46282</v>
      </c>
      <c r="AD84" s="103" t="s">
        <v>720</v>
      </c>
      <c r="AE84" s="106" t="s">
        <v>85</v>
      </c>
    </row>
    <row r="85" spans="1:31" x14ac:dyDescent="0.25">
      <c r="A85" s="103" t="s">
        <v>171</v>
      </c>
      <c r="B85" s="104" t="s">
        <v>172</v>
      </c>
      <c r="C85" s="103" t="s">
        <v>721</v>
      </c>
      <c r="D85" s="103" t="s">
        <v>311</v>
      </c>
      <c r="E85" s="103">
        <v>26265.5</v>
      </c>
      <c r="F85" s="103" t="s">
        <v>334</v>
      </c>
      <c r="G85" s="103" t="s">
        <v>393</v>
      </c>
      <c r="H85" s="103" t="s">
        <v>715</v>
      </c>
      <c r="I85" s="103" t="s">
        <v>315</v>
      </c>
      <c r="J85" s="103" t="s">
        <v>716</v>
      </c>
      <c r="K85" s="103" t="s">
        <v>717</v>
      </c>
      <c r="L85" s="103" t="s">
        <v>437</v>
      </c>
      <c r="M85" s="103" t="s">
        <v>718</v>
      </c>
      <c r="N85" s="103" t="s">
        <v>650</v>
      </c>
      <c r="O85" s="105">
        <v>46240</v>
      </c>
      <c r="P85" s="105">
        <v>46250</v>
      </c>
      <c r="Q85" s="105">
        <v>46251</v>
      </c>
      <c r="R85" s="105">
        <v>46251</v>
      </c>
      <c r="S85" s="105">
        <v>46254</v>
      </c>
      <c r="T85" s="105">
        <v>46258</v>
      </c>
      <c r="U85" s="105">
        <v>46254</v>
      </c>
      <c r="V85" s="105">
        <v>46261</v>
      </c>
      <c r="W85" s="105">
        <v>46262</v>
      </c>
      <c r="X85" s="105">
        <v>46258</v>
      </c>
      <c r="Y85" s="105">
        <v>46279</v>
      </c>
      <c r="Z85" s="105">
        <v>46279</v>
      </c>
      <c r="AA85" s="103" t="s">
        <v>722</v>
      </c>
      <c r="AB85" s="105">
        <v>46279</v>
      </c>
      <c r="AC85" s="105">
        <v>46282</v>
      </c>
      <c r="AD85" s="103" t="s">
        <v>720</v>
      </c>
      <c r="AE85" s="106" t="s">
        <v>85</v>
      </c>
    </row>
    <row r="86" spans="1:31" x14ac:dyDescent="0.25">
      <c r="A86" s="103" t="s">
        <v>171</v>
      </c>
      <c r="B86" s="104" t="s">
        <v>172</v>
      </c>
      <c r="C86" s="103" t="s">
        <v>723</v>
      </c>
      <c r="D86" s="103" t="s">
        <v>311</v>
      </c>
      <c r="E86" s="103">
        <v>26204</v>
      </c>
      <c r="F86" s="103" t="s">
        <v>334</v>
      </c>
      <c r="G86" s="103" t="s">
        <v>393</v>
      </c>
      <c r="H86" s="103" t="s">
        <v>715</v>
      </c>
      <c r="I86" s="103" t="s">
        <v>315</v>
      </c>
      <c r="J86" s="103" t="s">
        <v>716</v>
      </c>
      <c r="K86" s="103" t="s">
        <v>717</v>
      </c>
      <c r="L86" s="103" t="s">
        <v>437</v>
      </c>
      <c r="M86" s="103" t="s">
        <v>718</v>
      </c>
      <c r="N86" s="103" t="s">
        <v>650</v>
      </c>
      <c r="O86" s="105">
        <v>46240</v>
      </c>
      <c r="P86" s="105">
        <v>46250</v>
      </c>
      <c r="Q86" s="105">
        <v>46251</v>
      </c>
      <c r="R86" s="105">
        <v>46251</v>
      </c>
      <c r="S86" s="105">
        <v>46254</v>
      </c>
      <c r="T86" s="105">
        <v>46258</v>
      </c>
      <c r="U86" s="105">
        <v>46254</v>
      </c>
      <c r="V86" s="105">
        <v>46261</v>
      </c>
      <c r="W86" s="105">
        <v>46262</v>
      </c>
      <c r="X86" s="105">
        <v>46258</v>
      </c>
      <c r="Y86" s="105">
        <v>46279</v>
      </c>
      <c r="Z86" s="105">
        <v>46279</v>
      </c>
      <c r="AA86" s="103" t="s">
        <v>724</v>
      </c>
      <c r="AB86" s="105">
        <v>46279</v>
      </c>
      <c r="AC86" s="105">
        <v>46283</v>
      </c>
      <c r="AD86" s="103" t="s">
        <v>720</v>
      </c>
      <c r="AE86" s="106" t="s">
        <v>85</v>
      </c>
    </row>
    <row r="87" spans="1:31" x14ac:dyDescent="0.25">
      <c r="A87" s="103" t="s">
        <v>171</v>
      </c>
      <c r="B87" s="104" t="s">
        <v>172</v>
      </c>
      <c r="C87" s="103" t="s">
        <v>725</v>
      </c>
      <c r="D87" s="103" t="s">
        <v>311</v>
      </c>
      <c r="E87" s="103">
        <v>26206</v>
      </c>
      <c r="F87" s="103" t="s">
        <v>334</v>
      </c>
      <c r="G87" s="103" t="s">
        <v>393</v>
      </c>
      <c r="H87" s="103" t="s">
        <v>715</v>
      </c>
      <c r="I87" s="103" t="s">
        <v>315</v>
      </c>
      <c r="J87" s="103" t="s">
        <v>716</v>
      </c>
      <c r="K87" s="103" t="s">
        <v>717</v>
      </c>
      <c r="L87" s="103" t="s">
        <v>437</v>
      </c>
      <c r="M87" s="103" t="s">
        <v>718</v>
      </c>
      <c r="N87" s="103" t="s">
        <v>650</v>
      </c>
      <c r="O87" s="105">
        <v>46240</v>
      </c>
      <c r="P87" s="105">
        <v>46250</v>
      </c>
      <c r="Q87" s="105">
        <v>46251</v>
      </c>
      <c r="R87" s="105">
        <v>46251</v>
      </c>
      <c r="S87" s="105">
        <v>46254</v>
      </c>
      <c r="T87" s="105">
        <v>46258</v>
      </c>
      <c r="U87" s="105">
        <v>46254</v>
      </c>
      <c r="V87" s="105">
        <v>46261</v>
      </c>
      <c r="W87" s="105">
        <v>46262</v>
      </c>
      <c r="X87" s="105">
        <v>46258</v>
      </c>
      <c r="Y87" s="105">
        <v>46279</v>
      </c>
      <c r="Z87" s="105">
        <v>46279</v>
      </c>
      <c r="AA87" s="103" t="s">
        <v>726</v>
      </c>
      <c r="AB87" s="105">
        <v>46279</v>
      </c>
      <c r="AC87" s="105">
        <v>46283</v>
      </c>
      <c r="AD87" s="103" t="s">
        <v>720</v>
      </c>
      <c r="AE87" s="106" t="s">
        <v>85</v>
      </c>
    </row>
    <row r="88" spans="1:31" x14ac:dyDescent="0.25">
      <c r="A88" s="103" t="s">
        <v>174</v>
      </c>
      <c r="B88" s="104" t="s">
        <v>175</v>
      </c>
      <c r="C88" s="103" t="s">
        <v>727</v>
      </c>
      <c r="D88" s="103" t="s">
        <v>311</v>
      </c>
      <c r="E88" s="103">
        <v>25780</v>
      </c>
      <c r="F88" s="103" t="s">
        <v>312</v>
      </c>
      <c r="G88" s="103" t="s">
        <v>393</v>
      </c>
      <c r="H88" s="103" t="s">
        <v>728</v>
      </c>
      <c r="I88" s="103" t="s">
        <v>315</v>
      </c>
      <c r="J88" s="103" t="s">
        <v>648</v>
      </c>
      <c r="K88" s="103" t="s">
        <v>360</v>
      </c>
      <c r="L88" s="103" t="s">
        <v>459</v>
      </c>
      <c r="M88" s="103" t="s">
        <v>711</v>
      </c>
      <c r="N88" s="103" t="s">
        <v>729</v>
      </c>
      <c r="O88" s="105">
        <v>46210</v>
      </c>
      <c r="P88" s="105">
        <v>46229</v>
      </c>
      <c r="Q88" s="105">
        <v>46230</v>
      </c>
      <c r="R88" s="105">
        <v>46233</v>
      </c>
      <c r="S88" s="105">
        <v>46236</v>
      </c>
      <c r="T88" s="105">
        <v>46248</v>
      </c>
      <c r="U88" s="105">
        <v>46230</v>
      </c>
      <c r="V88" s="105">
        <v>46252</v>
      </c>
      <c r="W88" s="105">
        <v>46252</v>
      </c>
      <c r="X88" s="105">
        <v>46248</v>
      </c>
      <c r="Y88" s="105">
        <v>46275</v>
      </c>
      <c r="Z88" s="105">
        <v>46275</v>
      </c>
      <c r="AA88" s="103" t="s">
        <v>730</v>
      </c>
      <c r="AB88" s="105">
        <v>46275</v>
      </c>
      <c r="AC88" s="105">
        <v>46277</v>
      </c>
      <c r="AD88" s="103" t="s">
        <v>407</v>
      </c>
      <c r="AE88" s="106" t="s">
        <v>177</v>
      </c>
    </row>
    <row r="89" spans="1:31" x14ac:dyDescent="0.25">
      <c r="A89" s="103" t="s">
        <v>174</v>
      </c>
      <c r="B89" s="104" t="s">
        <v>175</v>
      </c>
      <c r="C89" s="103" t="s">
        <v>731</v>
      </c>
      <c r="D89" s="103" t="s">
        <v>311</v>
      </c>
      <c r="E89" s="103">
        <v>25440</v>
      </c>
      <c r="F89" s="103" t="s">
        <v>312</v>
      </c>
      <c r="G89" s="103" t="s">
        <v>393</v>
      </c>
      <c r="H89" s="103" t="s">
        <v>728</v>
      </c>
      <c r="I89" s="103" t="s">
        <v>315</v>
      </c>
      <c r="J89" s="103" t="s">
        <v>648</v>
      </c>
      <c r="K89" s="103" t="s">
        <v>360</v>
      </c>
      <c r="L89" s="103" t="s">
        <v>459</v>
      </c>
      <c r="M89" s="103" t="s">
        <v>711</v>
      </c>
      <c r="N89" s="103" t="s">
        <v>729</v>
      </c>
      <c r="O89" s="105">
        <v>46210</v>
      </c>
      <c r="P89" s="105">
        <v>46229</v>
      </c>
      <c r="Q89" s="105">
        <v>46230</v>
      </c>
      <c r="R89" s="105">
        <v>46233</v>
      </c>
      <c r="S89" s="105">
        <v>46236</v>
      </c>
      <c r="T89" s="105">
        <v>46248</v>
      </c>
      <c r="U89" s="105">
        <v>46230</v>
      </c>
      <c r="V89" s="105">
        <v>46252</v>
      </c>
      <c r="W89" s="105">
        <v>46252</v>
      </c>
      <c r="X89" s="105">
        <v>46248</v>
      </c>
      <c r="Y89" s="105">
        <v>46275</v>
      </c>
      <c r="Z89" s="105">
        <v>46275</v>
      </c>
      <c r="AA89" s="103" t="s">
        <v>732</v>
      </c>
      <c r="AB89" s="105">
        <v>46275</v>
      </c>
      <c r="AC89" s="105">
        <v>46278</v>
      </c>
      <c r="AD89" s="103" t="s">
        <v>407</v>
      </c>
      <c r="AE89" s="106" t="s">
        <v>177</v>
      </c>
    </row>
    <row r="90" spans="1:31" x14ac:dyDescent="0.25">
      <c r="A90" s="103" t="s">
        <v>174</v>
      </c>
      <c r="B90" s="104" t="s">
        <v>175</v>
      </c>
      <c r="C90" s="103" t="s">
        <v>733</v>
      </c>
      <c r="D90" s="103" t="s">
        <v>311</v>
      </c>
      <c r="E90" s="103">
        <v>25160</v>
      </c>
      <c r="F90" s="103" t="s">
        <v>312</v>
      </c>
      <c r="G90" s="103" t="s">
        <v>393</v>
      </c>
      <c r="H90" s="103" t="s">
        <v>728</v>
      </c>
      <c r="I90" s="103" t="s">
        <v>315</v>
      </c>
      <c r="J90" s="103" t="s">
        <v>648</v>
      </c>
      <c r="K90" s="103" t="s">
        <v>360</v>
      </c>
      <c r="L90" s="103" t="s">
        <v>459</v>
      </c>
      <c r="M90" s="103" t="s">
        <v>711</v>
      </c>
      <c r="N90" s="103" t="s">
        <v>729</v>
      </c>
      <c r="O90" s="105">
        <v>46210</v>
      </c>
      <c r="P90" s="105">
        <v>46229</v>
      </c>
      <c r="Q90" s="105">
        <v>46230</v>
      </c>
      <c r="R90" s="105">
        <v>46233</v>
      </c>
      <c r="S90" s="105">
        <v>46236</v>
      </c>
      <c r="T90" s="105">
        <v>46248</v>
      </c>
      <c r="U90" s="105">
        <v>46230</v>
      </c>
      <c r="V90" s="105">
        <v>46252</v>
      </c>
      <c r="W90" s="105">
        <v>46252</v>
      </c>
      <c r="X90" s="105">
        <v>46248</v>
      </c>
      <c r="Y90" s="105">
        <v>46275</v>
      </c>
      <c r="Z90" s="105">
        <v>46275</v>
      </c>
      <c r="AA90" s="103" t="s">
        <v>734</v>
      </c>
      <c r="AB90" s="105">
        <v>46275</v>
      </c>
      <c r="AC90" s="105">
        <v>46277</v>
      </c>
      <c r="AD90" s="103" t="s">
        <v>407</v>
      </c>
      <c r="AE90" s="106" t="s">
        <v>177</v>
      </c>
    </row>
    <row r="91" spans="1:31" x14ac:dyDescent="0.25">
      <c r="A91" s="103" t="s">
        <v>174</v>
      </c>
      <c r="B91" s="104" t="s">
        <v>175</v>
      </c>
      <c r="C91" s="103" t="s">
        <v>735</v>
      </c>
      <c r="D91" s="103" t="s">
        <v>311</v>
      </c>
      <c r="E91" s="103">
        <v>25650</v>
      </c>
      <c r="F91" s="103" t="s">
        <v>312</v>
      </c>
      <c r="G91" s="103" t="s">
        <v>393</v>
      </c>
      <c r="H91" s="103" t="s">
        <v>728</v>
      </c>
      <c r="I91" s="103" t="s">
        <v>315</v>
      </c>
      <c r="J91" s="103" t="s">
        <v>648</v>
      </c>
      <c r="K91" s="103" t="s">
        <v>360</v>
      </c>
      <c r="L91" s="103" t="s">
        <v>459</v>
      </c>
      <c r="M91" s="103" t="s">
        <v>711</v>
      </c>
      <c r="N91" s="103" t="s">
        <v>729</v>
      </c>
      <c r="O91" s="105">
        <v>46210</v>
      </c>
      <c r="P91" s="105">
        <v>46229</v>
      </c>
      <c r="Q91" s="105">
        <v>46230</v>
      </c>
      <c r="R91" s="105">
        <v>46233</v>
      </c>
      <c r="S91" s="105">
        <v>46236</v>
      </c>
      <c r="T91" s="105">
        <v>46248</v>
      </c>
      <c r="U91" s="105">
        <v>46230</v>
      </c>
      <c r="V91" s="105">
        <v>46252</v>
      </c>
      <c r="W91" s="105">
        <v>46252</v>
      </c>
      <c r="X91" s="105">
        <v>46248</v>
      </c>
      <c r="Y91" s="105">
        <v>46275</v>
      </c>
      <c r="Z91" s="105">
        <v>46275</v>
      </c>
      <c r="AA91" s="103" t="s">
        <v>736</v>
      </c>
      <c r="AB91" s="105">
        <v>46275</v>
      </c>
      <c r="AC91" s="105">
        <v>46277</v>
      </c>
      <c r="AD91" s="103" t="s">
        <v>407</v>
      </c>
      <c r="AE91" s="106" t="s">
        <v>177</v>
      </c>
    </row>
    <row r="92" spans="1:31" x14ac:dyDescent="0.25">
      <c r="A92" s="103" t="s">
        <v>737</v>
      </c>
      <c r="B92" s="104" t="s">
        <v>182</v>
      </c>
      <c r="C92" s="103" t="s">
        <v>738</v>
      </c>
      <c r="D92" s="103" t="s">
        <v>311</v>
      </c>
      <c r="E92" s="103">
        <v>26330</v>
      </c>
      <c r="F92" s="103" t="s">
        <v>312</v>
      </c>
      <c r="G92" s="103" t="s">
        <v>393</v>
      </c>
      <c r="H92" s="103" t="s">
        <v>657</v>
      </c>
      <c r="I92" s="103" t="s">
        <v>315</v>
      </c>
      <c r="J92" s="103" t="s">
        <v>648</v>
      </c>
      <c r="K92" s="103" t="s">
        <v>360</v>
      </c>
      <c r="L92" s="103" t="s">
        <v>459</v>
      </c>
      <c r="M92" s="103" t="s">
        <v>739</v>
      </c>
      <c r="N92" s="103" t="s">
        <v>740</v>
      </c>
      <c r="O92" s="105">
        <v>46225</v>
      </c>
      <c r="P92" s="105">
        <v>46238</v>
      </c>
      <c r="Q92" s="105">
        <v>46239</v>
      </c>
      <c r="R92" s="105">
        <v>46242</v>
      </c>
      <c r="S92" s="105">
        <v>46245</v>
      </c>
      <c r="T92" s="105">
        <v>46261</v>
      </c>
      <c r="U92" s="105">
        <v>46255</v>
      </c>
      <c r="V92" s="105">
        <v>46266</v>
      </c>
      <c r="W92" s="105">
        <v>46266</v>
      </c>
      <c r="X92" s="105">
        <v>46261</v>
      </c>
      <c r="Y92" s="105">
        <v>46275</v>
      </c>
      <c r="Z92" s="105">
        <v>46275</v>
      </c>
      <c r="AA92" s="103" t="s">
        <v>495</v>
      </c>
      <c r="AB92" s="105">
        <v>46275</v>
      </c>
      <c r="AC92" s="105">
        <v>46277</v>
      </c>
      <c r="AD92" s="103" t="s">
        <v>354</v>
      </c>
      <c r="AE92" s="106" t="s">
        <v>184</v>
      </c>
    </row>
    <row r="93" spans="1:31" x14ac:dyDescent="0.25">
      <c r="A93" s="103">
        <v>2607171</v>
      </c>
      <c r="B93" s="104" t="s">
        <v>186</v>
      </c>
      <c r="C93" s="103" t="s">
        <v>741</v>
      </c>
      <c r="D93" s="103" t="s">
        <v>311</v>
      </c>
      <c r="E93" s="103">
        <v>26380</v>
      </c>
      <c r="F93" s="103" t="s">
        <v>312</v>
      </c>
      <c r="G93" s="103" t="s">
        <v>357</v>
      </c>
      <c r="H93" s="103" t="s">
        <v>742</v>
      </c>
      <c r="I93" s="103" t="s">
        <v>315</v>
      </c>
      <c r="J93" s="103" t="s">
        <v>428</v>
      </c>
      <c r="K93" s="103" t="s">
        <v>360</v>
      </c>
      <c r="L93" s="103" t="s">
        <v>445</v>
      </c>
      <c r="M93" s="103" t="s">
        <v>511</v>
      </c>
      <c r="N93" s="103" t="s">
        <v>446</v>
      </c>
      <c r="O93" s="105">
        <v>46199</v>
      </c>
      <c r="P93" s="105">
        <v>46226</v>
      </c>
      <c r="Q93" s="105">
        <v>46230</v>
      </c>
      <c r="R93" s="105">
        <v>46229</v>
      </c>
      <c r="S93" s="105">
        <v>46237</v>
      </c>
      <c r="T93" s="105">
        <v>46233</v>
      </c>
      <c r="U93" s="105">
        <v>46227</v>
      </c>
      <c r="V93" s="105">
        <v>46244</v>
      </c>
      <c r="W93" s="105">
        <v>46245</v>
      </c>
      <c r="X93" s="105">
        <v>46233</v>
      </c>
      <c r="Y93" s="105">
        <v>46271</v>
      </c>
      <c r="Z93" s="105">
        <v>46271</v>
      </c>
      <c r="AA93" s="103" t="s">
        <v>743</v>
      </c>
      <c r="AB93" s="105">
        <v>46275</v>
      </c>
      <c r="AC93" s="105">
        <v>46280</v>
      </c>
      <c r="AD93" s="103" t="s">
        <v>415</v>
      </c>
      <c r="AE93" s="106" t="s">
        <v>188</v>
      </c>
    </row>
    <row r="94" spans="1:31" x14ac:dyDescent="0.25">
      <c r="A94" s="103">
        <v>260814</v>
      </c>
      <c r="B94" s="104" t="s">
        <v>190</v>
      </c>
      <c r="C94" s="103" t="s">
        <v>744</v>
      </c>
      <c r="D94" s="103" t="s">
        <v>311</v>
      </c>
      <c r="E94" s="103">
        <v>25800</v>
      </c>
      <c r="F94" s="103" t="s">
        <v>312</v>
      </c>
      <c r="G94" s="103" t="s">
        <v>357</v>
      </c>
      <c r="H94" s="103" t="s">
        <v>745</v>
      </c>
      <c r="I94" s="103" t="s">
        <v>315</v>
      </c>
      <c r="J94" s="103" t="s">
        <v>428</v>
      </c>
      <c r="K94" s="103" t="s">
        <v>421</v>
      </c>
      <c r="L94" s="103" t="s">
        <v>445</v>
      </c>
      <c r="M94" s="103" t="s">
        <v>429</v>
      </c>
      <c r="N94" s="103" t="s">
        <v>746</v>
      </c>
      <c r="O94" s="105">
        <v>46203</v>
      </c>
      <c r="P94" s="105">
        <v>46233</v>
      </c>
      <c r="Q94" s="105">
        <v>46234</v>
      </c>
      <c r="R94" s="105">
        <v>46234</v>
      </c>
      <c r="S94" s="105">
        <v>46235</v>
      </c>
      <c r="T94" s="105">
        <v>46241</v>
      </c>
      <c r="U94" s="105">
        <v>46233</v>
      </c>
      <c r="V94" s="105">
        <v>46244</v>
      </c>
      <c r="W94" s="105">
        <v>46245</v>
      </c>
      <c r="X94" s="105">
        <v>46241</v>
      </c>
      <c r="Y94" s="105">
        <v>46275</v>
      </c>
      <c r="Z94" s="105">
        <v>46275</v>
      </c>
      <c r="AA94" s="103" t="s">
        <v>747</v>
      </c>
      <c r="AB94" s="105">
        <v>46275</v>
      </c>
      <c r="AC94" s="105">
        <v>46281</v>
      </c>
      <c r="AD94" s="103" t="s">
        <v>489</v>
      </c>
      <c r="AE94" s="106" t="s">
        <v>192</v>
      </c>
    </row>
    <row r="95" spans="1:31" x14ac:dyDescent="0.25">
      <c r="A95" s="103" t="s">
        <v>748</v>
      </c>
      <c r="B95" s="104" t="s">
        <v>194</v>
      </c>
      <c r="C95" s="103" t="s">
        <v>749</v>
      </c>
      <c r="D95" s="103" t="s">
        <v>311</v>
      </c>
      <c r="E95" s="103">
        <v>27075</v>
      </c>
      <c r="F95" s="103" t="s">
        <v>312</v>
      </c>
      <c r="G95" s="103" t="s">
        <v>357</v>
      </c>
      <c r="H95" s="103" t="s">
        <v>750</v>
      </c>
      <c r="I95" s="103" t="s">
        <v>315</v>
      </c>
      <c r="J95" s="103" t="s">
        <v>359</v>
      </c>
      <c r="K95" s="103" t="s">
        <v>360</v>
      </c>
      <c r="L95" s="103" t="s">
        <v>361</v>
      </c>
      <c r="M95" s="103" t="s">
        <v>751</v>
      </c>
      <c r="N95" s="103" t="s">
        <v>712</v>
      </c>
      <c r="O95" s="105">
        <v>46241</v>
      </c>
      <c r="P95" s="105">
        <v>46235</v>
      </c>
      <c r="Q95" s="105">
        <v>46236</v>
      </c>
      <c r="R95" s="105">
        <v>46237</v>
      </c>
      <c r="S95" s="105">
        <v>46238</v>
      </c>
      <c r="T95" s="105">
        <v>46246</v>
      </c>
      <c r="U95" s="105">
        <v>46241</v>
      </c>
      <c r="V95" s="105">
        <v>46247</v>
      </c>
      <c r="W95" s="105">
        <v>46253</v>
      </c>
      <c r="X95" s="105">
        <v>46246</v>
      </c>
      <c r="Y95" s="105">
        <v>46279</v>
      </c>
      <c r="Z95" s="105">
        <v>46279</v>
      </c>
      <c r="AA95" s="103" t="s">
        <v>752</v>
      </c>
      <c r="AB95" s="105">
        <v>46279</v>
      </c>
      <c r="AC95" s="105">
        <v>46284</v>
      </c>
      <c r="AD95" s="103" t="s">
        <v>489</v>
      </c>
      <c r="AE95" s="106" t="s">
        <v>196</v>
      </c>
    </row>
    <row r="96" spans="1:31" x14ac:dyDescent="0.25">
      <c r="A96" s="103" t="s">
        <v>748</v>
      </c>
      <c r="B96" s="104" t="s">
        <v>194</v>
      </c>
      <c r="C96" s="103" t="s">
        <v>753</v>
      </c>
      <c r="D96" s="103" t="s">
        <v>311</v>
      </c>
      <c r="E96" s="103">
        <v>27015</v>
      </c>
      <c r="F96" s="103" t="s">
        <v>312</v>
      </c>
      <c r="G96" s="103" t="s">
        <v>357</v>
      </c>
      <c r="H96" s="103" t="s">
        <v>750</v>
      </c>
      <c r="I96" s="103" t="s">
        <v>315</v>
      </c>
      <c r="J96" s="103" t="s">
        <v>359</v>
      </c>
      <c r="K96" s="103" t="s">
        <v>360</v>
      </c>
      <c r="L96" s="103" t="s">
        <v>361</v>
      </c>
      <c r="M96" s="103" t="s">
        <v>751</v>
      </c>
      <c r="N96" s="103" t="s">
        <v>712</v>
      </c>
      <c r="O96" s="105">
        <v>46241</v>
      </c>
      <c r="P96" s="105">
        <v>46235</v>
      </c>
      <c r="Q96" s="105">
        <v>46236</v>
      </c>
      <c r="R96" s="105">
        <v>46237</v>
      </c>
      <c r="S96" s="105">
        <v>46238</v>
      </c>
      <c r="T96" s="105">
        <v>46246</v>
      </c>
      <c r="U96" s="105">
        <v>46241</v>
      </c>
      <c r="V96" s="105">
        <v>46247</v>
      </c>
      <c r="W96" s="105">
        <v>46253</v>
      </c>
      <c r="X96" s="105">
        <v>46246</v>
      </c>
      <c r="Y96" s="105">
        <v>46279</v>
      </c>
      <c r="Z96" s="105">
        <v>46279</v>
      </c>
      <c r="AA96" s="103" t="s">
        <v>754</v>
      </c>
      <c r="AB96" s="105">
        <v>46279</v>
      </c>
      <c r="AC96" s="105">
        <v>46284</v>
      </c>
      <c r="AD96" s="103" t="s">
        <v>489</v>
      </c>
      <c r="AE96" s="106" t="s">
        <v>196</v>
      </c>
    </row>
    <row r="97" spans="1:31" x14ac:dyDescent="0.25">
      <c r="A97" s="103" t="s">
        <v>755</v>
      </c>
      <c r="B97" s="104" t="s">
        <v>198</v>
      </c>
      <c r="C97" s="103" t="s">
        <v>756</v>
      </c>
      <c r="D97" s="103" t="s">
        <v>311</v>
      </c>
      <c r="E97" s="103">
        <v>19480</v>
      </c>
      <c r="F97" s="103" t="s">
        <v>312</v>
      </c>
      <c r="G97" s="103" t="s">
        <v>393</v>
      </c>
      <c r="H97" s="103" t="s">
        <v>657</v>
      </c>
      <c r="I97" s="103" t="s">
        <v>315</v>
      </c>
      <c r="J97" s="103" t="s">
        <v>648</v>
      </c>
      <c r="K97" s="103" t="s">
        <v>360</v>
      </c>
      <c r="L97" s="103" t="s">
        <v>422</v>
      </c>
      <c r="M97" s="103" t="s">
        <v>757</v>
      </c>
      <c r="N97" s="103" t="s">
        <v>352</v>
      </c>
      <c r="O97" s="105">
        <v>46240</v>
      </c>
      <c r="P97" s="105">
        <v>46262</v>
      </c>
      <c r="Q97" s="105">
        <v>46263</v>
      </c>
      <c r="R97" s="105">
        <v>46255</v>
      </c>
      <c r="S97" s="105">
        <v>46259</v>
      </c>
      <c r="T97" s="105">
        <v>46260</v>
      </c>
      <c r="U97" s="105">
        <v>46263</v>
      </c>
      <c r="V97" s="105">
        <v>46272</v>
      </c>
      <c r="W97" s="105">
        <v>46272</v>
      </c>
      <c r="X97" s="105">
        <v>46260</v>
      </c>
      <c r="Y97" s="105">
        <v>46281</v>
      </c>
      <c r="Z97" s="105">
        <v>46281</v>
      </c>
      <c r="AA97" s="103" t="s">
        <v>758</v>
      </c>
      <c r="AB97" s="105">
        <v>46281</v>
      </c>
      <c r="AC97" s="105">
        <v>46282</v>
      </c>
      <c r="AD97" s="103" t="s">
        <v>431</v>
      </c>
      <c r="AE97" s="106" t="s">
        <v>759</v>
      </c>
    </row>
    <row r="98" spans="1:31" x14ac:dyDescent="0.25">
      <c r="A98" s="103" t="s">
        <v>201</v>
      </c>
      <c r="B98" s="104" t="s">
        <v>202</v>
      </c>
      <c r="C98" s="103" t="s">
        <v>760</v>
      </c>
      <c r="D98" s="103" t="s">
        <v>311</v>
      </c>
      <c r="E98" s="103">
        <v>16380</v>
      </c>
      <c r="F98" s="103" t="s">
        <v>312</v>
      </c>
      <c r="G98" s="103" t="s">
        <v>393</v>
      </c>
      <c r="H98" s="103">
        <v>20260708</v>
      </c>
      <c r="I98" s="103" t="s">
        <v>315</v>
      </c>
      <c r="J98" s="103" t="s">
        <v>761</v>
      </c>
      <c r="K98" s="103" t="s">
        <v>360</v>
      </c>
      <c r="L98" s="103" t="s">
        <v>437</v>
      </c>
      <c r="M98" s="103" t="s">
        <v>762</v>
      </c>
      <c r="N98" s="103" t="s">
        <v>650</v>
      </c>
      <c r="O98" s="105">
        <v>46240</v>
      </c>
      <c r="P98" s="105">
        <v>46250</v>
      </c>
      <c r="Q98" s="105">
        <v>46251</v>
      </c>
      <c r="R98" s="105">
        <v>46251</v>
      </c>
      <c r="S98" s="105">
        <v>46253</v>
      </c>
      <c r="T98" s="105">
        <v>46260</v>
      </c>
      <c r="U98" s="105">
        <v>46254</v>
      </c>
      <c r="V98" s="105">
        <v>46261</v>
      </c>
      <c r="W98" s="105">
        <v>46262</v>
      </c>
      <c r="X98" s="105">
        <v>46260</v>
      </c>
      <c r="Y98" s="105">
        <v>46279</v>
      </c>
      <c r="Z98" s="105">
        <v>46279</v>
      </c>
      <c r="AA98" s="103" t="s">
        <v>763</v>
      </c>
      <c r="AB98" s="105">
        <v>46279</v>
      </c>
      <c r="AC98" s="105">
        <v>46280</v>
      </c>
      <c r="AD98" s="103" t="s">
        <v>407</v>
      </c>
      <c r="AE98" s="106" t="s">
        <v>204</v>
      </c>
    </row>
    <row r="99" spans="1:31" x14ac:dyDescent="0.25">
      <c r="A99" s="103" t="s">
        <v>205</v>
      </c>
      <c r="B99" s="104">
        <v>271567221</v>
      </c>
      <c r="C99" s="103" t="s">
        <v>764</v>
      </c>
      <c r="D99" s="103" t="s">
        <v>311</v>
      </c>
      <c r="E99" s="103">
        <v>20390</v>
      </c>
      <c r="F99" s="103" t="s">
        <v>312</v>
      </c>
      <c r="G99" s="103" t="s">
        <v>500</v>
      </c>
      <c r="H99" s="103" t="s">
        <v>765</v>
      </c>
      <c r="I99" s="103" t="s">
        <v>315</v>
      </c>
      <c r="J99" s="103" t="s">
        <v>766</v>
      </c>
      <c r="K99" s="103" t="s">
        <v>670</v>
      </c>
      <c r="L99" s="103" t="s">
        <v>411</v>
      </c>
      <c r="M99" s="103" t="s">
        <v>767</v>
      </c>
      <c r="N99" s="103" t="s">
        <v>586</v>
      </c>
      <c r="O99" s="105">
        <v>46266</v>
      </c>
      <c r="P99" s="105">
        <v>46239</v>
      </c>
      <c r="Q99" s="105">
        <v>46240</v>
      </c>
      <c r="R99" s="105">
        <v>46241</v>
      </c>
      <c r="S99" s="105">
        <v>46241</v>
      </c>
      <c r="T99" s="105">
        <v>46270</v>
      </c>
      <c r="U99" s="105">
        <v>46268</v>
      </c>
      <c r="V99" s="105">
        <v>46272</v>
      </c>
      <c r="W99" s="105">
        <v>46272</v>
      </c>
      <c r="X99" s="105">
        <v>46270</v>
      </c>
      <c r="Y99" s="105">
        <v>46270</v>
      </c>
      <c r="Z99" s="105">
        <v>46270</v>
      </c>
      <c r="AA99" s="103" t="s">
        <v>388</v>
      </c>
      <c r="AB99" s="105">
        <v>46272</v>
      </c>
      <c r="AC99" s="105">
        <v>46272</v>
      </c>
      <c r="AD99" s="103" t="s">
        <v>514</v>
      </c>
      <c r="AE99" s="106" t="s">
        <v>207</v>
      </c>
    </row>
    <row r="100" spans="1:31" x14ac:dyDescent="0.25">
      <c r="A100" s="103" t="s">
        <v>768</v>
      </c>
      <c r="B100" s="104" t="s">
        <v>209</v>
      </c>
      <c r="C100" s="103" t="s">
        <v>769</v>
      </c>
      <c r="D100" s="103" t="s">
        <v>311</v>
      </c>
      <c r="E100" s="103">
        <v>26410</v>
      </c>
      <c r="F100" s="103" t="s">
        <v>312</v>
      </c>
      <c r="G100" s="103" t="s">
        <v>393</v>
      </c>
      <c r="H100" s="103" t="s">
        <v>770</v>
      </c>
      <c r="I100" s="103" t="s">
        <v>315</v>
      </c>
      <c r="J100" s="103" t="s">
        <v>771</v>
      </c>
      <c r="K100" s="103" t="s">
        <v>360</v>
      </c>
      <c r="L100" s="103" t="s">
        <v>379</v>
      </c>
      <c r="M100" s="103" t="s">
        <v>772</v>
      </c>
      <c r="N100" s="103" t="s">
        <v>405</v>
      </c>
      <c r="O100" s="105">
        <v>46225</v>
      </c>
      <c r="P100" s="105">
        <v>46231</v>
      </c>
      <c r="Q100" s="105">
        <v>46232</v>
      </c>
      <c r="R100" s="105">
        <v>46232</v>
      </c>
      <c r="S100" s="105">
        <v>46233</v>
      </c>
      <c r="T100" s="105">
        <v>46234</v>
      </c>
      <c r="U100" s="105">
        <v>46237</v>
      </c>
      <c r="V100" s="105">
        <v>46249</v>
      </c>
      <c r="W100" s="105">
        <v>46249</v>
      </c>
      <c r="X100" s="105">
        <v>46237</v>
      </c>
      <c r="Y100" s="105">
        <v>46258</v>
      </c>
      <c r="Z100" s="105">
        <v>46258</v>
      </c>
      <c r="AA100" s="103" t="s">
        <v>773</v>
      </c>
      <c r="AB100" s="105">
        <v>46259</v>
      </c>
      <c r="AC100" s="105">
        <v>46263</v>
      </c>
      <c r="AD100" s="103" t="s">
        <v>496</v>
      </c>
      <c r="AE100" s="106" t="s">
        <v>101</v>
      </c>
    </row>
    <row r="101" spans="1:31" x14ac:dyDescent="0.25">
      <c r="A101" s="103" t="s">
        <v>768</v>
      </c>
      <c r="B101" s="104" t="s">
        <v>209</v>
      </c>
      <c r="C101" s="103" t="s">
        <v>774</v>
      </c>
      <c r="D101" s="103" t="s">
        <v>311</v>
      </c>
      <c r="E101" s="103">
        <v>26210</v>
      </c>
      <c r="F101" s="103" t="s">
        <v>312</v>
      </c>
      <c r="G101" s="103" t="s">
        <v>393</v>
      </c>
      <c r="H101" s="103" t="s">
        <v>770</v>
      </c>
      <c r="I101" s="103" t="s">
        <v>315</v>
      </c>
      <c r="J101" s="103" t="s">
        <v>771</v>
      </c>
      <c r="K101" s="103" t="s">
        <v>360</v>
      </c>
      <c r="L101" s="103" t="s">
        <v>379</v>
      </c>
      <c r="M101" s="103" t="s">
        <v>772</v>
      </c>
      <c r="N101" s="103" t="s">
        <v>405</v>
      </c>
      <c r="O101" s="105">
        <v>46225</v>
      </c>
      <c r="P101" s="105">
        <v>46231</v>
      </c>
      <c r="Q101" s="105">
        <v>46232</v>
      </c>
      <c r="R101" s="105">
        <v>46232</v>
      </c>
      <c r="S101" s="105">
        <v>46233</v>
      </c>
      <c r="T101" s="105">
        <v>46234</v>
      </c>
      <c r="U101" s="105">
        <v>46237</v>
      </c>
      <c r="V101" s="105">
        <v>46249</v>
      </c>
      <c r="W101" s="105">
        <v>46249</v>
      </c>
      <c r="X101" s="105">
        <v>46237</v>
      </c>
      <c r="Y101" s="105">
        <v>46258</v>
      </c>
      <c r="Z101" s="105">
        <v>46258</v>
      </c>
      <c r="AA101" s="103" t="s">
        <v>775</v>
      </c>
      <c r="AB101" s="105">
        <v>46259</v>
      </c>
      <c r="AC101" s="105">
        <v>46263</v>
      </c>
      <c r="AD101" s="103" t="s">
        <v>496</v>
      </c>
      <c r="AE101" s="106" t="s">
        <v>101</v>
      </c>
    </row>
    <row r="102" spans="1:31" x14ac:dyDescent="0.25">
      <c r="A102" s="103" t="s">
        <v>211</v>
      </c>
      <c r="B102" s="104" t="s">
        <v>212</v>
      </c>
      <c r="C102" s="103" t="s">
        <v>776</v>
      </c>
      <c r="D102" s="103" t="s">
        <v>311</v>
      </c>
      <c r="E102" s="103">
        <v>25610</v>
      </c>
      <c r="F102" s="103" t="s">
        <v>312</v>
      </c>
      <c r="G102" s="103" t="s">
        <v>393</v>
      </c>
      <c r="H102" s="103" t="s">
        <v>777</v>
      </c>
      <c r="I102" s="103" t="s">
        <v>315</v>
      </c>
      <c r="J102" s="103" t="s">
        <v>443</v>
      </c>
      <c r="K102" s="103" t="s">
        <v>444</v>
      </c>
      <c r="L102" s="103" t="s">
        <v>361</v>
      </c>
      <c r="M102" s="103" t="s">
        <v>778</v>
      </c>
      <c r="N102" s="103" t="s">
        <v>328</v>
      </c>
      <c r="O102" s="105">
        <v>46216</v>
      </c>
      <c r="P102" s="105">
        <v>46210</v>
      </c>
      <c r="Q102" s="105">
        <v>46211</v>
      </c>
      <c r="R102" s="105">
        <v>46211</v>
      </c>
      <c r="S102" s="105">
        <v>46212</v>
      </c>
      <c r="T102" s="105">
        <v>46218</v>
      </c>
      <c r="U102" s="105">
        <v>46217</v>
      </c>
      <c r="V102" s="105">
        <v>46220</v>
      </c>
      <c r="W102" s="105">
        <v>46220</v>
      </c>
      <c r="X102" s="105">
        <v>46218</v>
      </c>
      <c r="Y102" s="105">
        <v>46239</v>
      </c>
      <c r="Z102" s="105">
        <v>46239</v>
      </c>
      <c r="AA102" s="103" t="s">
        <v>779</v>
      </c>
      <c r="AB102" s="105">
        <v>46240</v>
      </c>
      <c r="AC102" s="105">
        <v>46246</v>
      </c>
      <c r="AD102" s="103" t="s">
        <v>431</v>
      </c>
      <c r="AE102" s="106" t="s">
        <v>214</v>
      </c>
    </row>
    <row r="103" spans="1:31" x14ac:dyDescent="0.25">
      <c r="A103" s="103" t="s">
        <v>215</v>
      </c>
      <c r="B103" s="104" t="s">
        <v>216</v>
      </c>
      <c r="C103" s="103" t="s">
        <v>780</v>
      </c>
      <c r="D103" s="103" t="s">
        <v>311</v>
      </c>
      <c r="E103" s="103">
        <v>26200</v>
      </c>
      <c r="F103" s="103" t="s">
        <v>312</v>
      </c>
      <c r="G103" s="103" t="s">
        <v>357</v>
      </c>
      <c r="H103" s="103" t="s">
        <v>781</v>
      </c>
      <c r="I103" s="103" t="s">
        <v>315</v>
      </c>
      <c r="J103" s="103" t="s">
        <v>428</v>
      </c>
      <c r="K103" s="103" t="s">
        <v>360</v>
      </c>
      <c r="L103" s="103" t="s">
        <v>361</v>
      </c>
      <c r="M103" s="103" t="s">
        <v>511</v>
      </c>
      <c r="N103" s="103" t="s">
        <v>512</v>
      </c>
      <c r="O103" s="105">
        <v>46212</v>
      </c>
      <c r="P103" s="105">
        <v>46221</v>
      </c>
      <c r="Q103" s="105">
        <v>46222</v>
      </c>
      <c r="R103" s="105">
        <v>46225</v>
      </c>
      <c r="S103" s="105">
        <v>46227</v>
      </c>
      <c r="T103" s="105">
        <v>46227</v>
      </c>
      <c r="U103" s="105">
        <v>46223</v>
      </c>
      <c r="V103" s="105">
        <v>46230</v>
      </c>
      <c r="W103" s="105">
        <v>46230</v>
      </c>
      <c r="X103" s="105">
        <v>46227</v>
      </c>
      <c r="Y103" s="105">
        <v>46251</v>
      </c>
      <c r="Z103" s="105">
        <v>46251</v>
      </c>
      <c r="AA103" s="103" t="s">
        <v>782</v>
      </c>
      <c r="AB103" s="105">
        <v>46251</v>
      </c>
      <c r="AC103" s="105">
        <v>46252</v>
      </c>
      <c r="AD103" s="103" t="s">
        <v>514</v>
      </c>
      <c r="AE103" s="106" t="s">
        <v>218</v>
      </c>
    </row>
    <row r="104" spans="1:31" x14ac:dyDescent="0.25">
      <c r="A104" s="103" t="s">
        <v>219</v>
      </c>
      <c r="B104" s="104" t="s">
        <v>783</v>
      </c>
      <c r="C104" s="103" t="s">
        <v>784</v>
      </c>
      <c r="D104" s="103" t="s">
        <v>311</v>
      </c>
      <c r="E104" s="103">
        <v>10720</v>
      </c>
      <c r="F104" s="103" t="s">
        <v>312</v>
      </c>
      <c r="G104" s="103" t="s">
        <v>500</v>
      </c>
      <c r="H104" s="103">
        <v>28073</v>
      </c>
      <c r="I104" s="103" t="s">
        <v>315</v>
      </c>
      <c r="J104" s="103" t="s">
        <v>683</v>
      </c>
      <c r="K104" s="103" t="s">
        <v>684</v>
      </c>
      <c r="L104" s="103" t="s">
        <v>318</v>
      </c>
      <c r="M104" s="103" t="s">
        <v>685</v>
      </c>
      <c r="N104" s="103" t="s">
        <v>686</v>
      </c>
      <c r="O104" s="105">
        <v>46211</v>
      </c>
      <c r="P104" s="105">
        <v>46254</v>
      </c>
      <c r="Q104" s="105">
        <v>46255</v>
      </c>
      <c r="R104" s="105">
        <v>46264</v>
      </c>
      <c r="S104" s="105">
        <v>46268</v>
      </c>
      <c r="T104" s="105">
        <v>46296</v>
      </c>
      <c r="U104" s="105">
        <v>46270</v>
      </c>
      <c r="V104" s="105">
        <v>46283</v>
      </c>
      <c r="W104" s="105">
        <v>46297</v>
      </c>
      <c r="X104" s="105">
        <v>46296</v>
      </c>
      <c r="Y104" s="105">
        <v>46296</v>
      </c>
      <c r="Z104" s="105">
        <v>46296</v>
      </c>
      <c r="AA104" s="103" t="s">
        <v>785</v>
      </c>
      <c r="AB104" s="105">
        <v>46296</v>
      </c>
      <c r="AC104" s="105">
        <v>46301</v>
      </c>
      <c r="AD104" s="103" t="s">
        <v>688</v>
      </c>
      <c r="AE104" s="106" t="s">
        <v>221</v>
      </c>
    </row>
    <row r="105" spans="1:31" x14ac:dyDescent="0.25">
      <c r="A105" s="103">
        <v>260815</v>
      </c>
      <c r="B105" s="104" t="s">
        <v>223</v>
      </c>
      <c r="C105" s="103" t="s">
        <v>786</v>
      </c>
      <c r="D105" s="103" t="s">
        <v>311</v>
      </c>
      <c r="E105" s="103">
        <v>25830</v>
      </c>
      <c r="F105" s="103" t="s">
        <v>312</v>
      </c>
      <c r="G105" s="103" t="s">
        <v>393</v>
      </c>
      <c r="H105" s="103" t="s">
        <v>787</v>
      </c>
      <c r="I105" s="103" t="s">
        <v>315</v>
      </c>
      <c r="J105" s="103" t="s">
        <v>571</v>
      </c>
      <c r="K105" s="103" t="s">
        <v>360</v>
      </c>
      <c r="L105" s="103" t="s">
        <v>445</v>
      </c>
      <c r="M105" s="103" t="s">
        <v>511</v>
      </c>
      <c r="N105" s="103" t="s">
        <v>746</v>
      </c>
      <c r="O105" s="105">
        <v>46209</v>
      </c>
      <c r="P105" s="105">
        <v>46233</v>
      </c>
      <c r="Q105" s="105">
        <v>46234</v>
      </c>
      <c r="R105" s="105">
        <v>46234</v>
      </c>
      <c r="S105" s="105">
        <v>46234</v>
      </c>
      <c r="T105" s="105">
        <v>46241</v>
      </c>
      <c r="U105" s="105">
        <v>46233</v>
      </c>
      <c r="V105" s="105">
        <v>46244</v>
      </c>
      <c r="W105" s="105">
        <v>46245</v>
      </c>
      <c r="X105" s="105">
        <v>46241</v>
      </c>
      <c r="Y105" s="105">
        <v>46275</v>
      </c>
      <c r="Z105" s="105">
        <v>46275</v>
      </c>
      <c r="AA105" s="103" t="s">
        <v>414</v>
      </c>
      <c r="AB105" s="105">
        <v>46275</v>
      </c>
      <c r="AC105" s="105">
        <v>46277</v>
      </c>
      <c r="AD105" s="103" t="s">
        <v>407</v>
      </c>
      <c r="AE105" s="106" t="s">
        <v>225</v>
      </c>
    </row>
    <row r="106" spans="1:31" x14ac:dyDescent="0.25">
      <c r="A106" s="103">
        <v>260820</v>
      </c>
      <c r="B106" s="104" t="s">
        <v>227</v>
      </c>
      <c r="C106" s="103" t="s">
        <v>788</v>
      </c>
      <c r="D106" s="103" t="s">
        <v>311</v>
      </c>
      <c r="E106" s="103">
        <v>25110</v>
      </c>
      <c r="F106" s="103" t="s">
        <v>312</v>
      </c>
      <c r="G106" s="103" t="s">
        <v>393</v>
      </c>
      <c r="H106" s="103">
        <v>20260523</v>
      </c>
      <c r="I106" s="103" t="s">
        <v>315</v>
      </c>
      <c r="J106" s="103" t="s">
        <v>443</v>
      </c>
      <c r="K106" s="103" t="s">
        <v>360</v>
      </c>
      <c r="L106" s="103" t="s">
        <v>445</v>
      </c>
      <c r="M106" s="103" t="s">
        <v>556</v>
      </c>
      <c r="N106" s="103" t="s">
        <v>746</v>
      </c>
      <c r="O106" s="105">
        <v>46212</v>
      </c>
      <c r="P106" s="105">
        <v>46233</v>
      </c>
      <c r="Q106" s="105">
        <v>46234</v>
      </c>
      <c r="R106" s="105">
        <v>46237</v>
      </c>
      <c r="S106" s="105">
        <v>46238</v>
      </c>
      <c r="T106" s="105">
        <v>46241</v>
      </c>
      <c r="U106" s="105">
        <v>46232</v>
      </c>
      <c r="V106" s="105">
        <v>46244</v>
      </c>
      <c r="W106" s="105">
        <v>46245</v>
      </c>
      <c r="X106" s="105">
        <v>46241</v>
      </c>
      <c r="Y106" s="105">
        <v>46277</v>
      </c>
      <c r="Z106" s="105">
        <v>46277</v>
      </c>
      <c r="AA106" s="103" t="s">
        <v>789</v>
      </c>
      <c r="AB106" s="105">
        <v>46277</v>
      </c>
      <c r="AC106" s="105">
        <v>46278</v>
      </c>
      <c r="AD106" s="103" t="s">
        <v>407</v>
      </c>
      <c r="AE106" s="106" t="s">
        <v>225</v>
      </c>
    </row>
    <row r="107" spans="1:31" x14ac:dyDescent="0.25">
      <c r="A107" s="103">
        <v>260818</v>
      </c>
      <c r="B107" s="104" t="s">
        <v>230</v>
      </c>
      <c r="C107" s="103" t="s">
        <v>790</v>
      </c>
      <c r="D107" s="103" t="s">
        <v>311</v>
      </c>
      <c r="E107" s="103">
        <v>26410</v>
      </c>
      <c r="F107" s="103" t="s">
        <v>312</v>
      </c>
      <c r="G107" s="103" t="s">
        <v>393</v>
      </c>
      <c r="H107" s="103" t="s">
        <v>791</v>
      </c>
      <c r="I107" s="103" t="s">
        <v>315</v>
      </c>
      <c r="J107" s="103" t="s">
        <v>571</v>
      </c>
      <c r="K107" s="103" t="s">
        <v>360</v>
      </c>
      <c r="L107" s="103" t="s">
        <v>445</v>
      </c>
      <c r="M107" s="103" t="s">
        <v>511</v>
      </c>
      <c r="N107" s="103" t="s">
        <v>746</v>
      </c>
      <c r="O107" s="105">
        <v>46209</v>
      </c>
      <c r="P107" s="105">
        <v>46233</v>
      </c>
      <c r="Q107" s="105">
        <v>46234</v>
      </c>
      <c r="R107" s="105">
        <v>46236</v>
      </c>
      <c r="S107" s="105">
        <v>46236</v>
      </c>
      <c r="T107" s="105">
        <v>46241</v>
      </c>
      <c r="U107" s="105">
        <v>46233</v>
      </c>
      <c r="V107" s="105">
        <v>46244</v>
      </c>
      <c r="W107" s="105">
        <v>46245</v>
      </c>
      <c r="X107" s="105">
        <v>46241</v>
      </c>
      <c r="Y107" s="105">
        <v>46276</v>
      </c>
      <c r="Z107" s="105">
        <v>46276</v>
      </c>
      <c r="AA107" s="103" t="s">
        <v>792</v>
      </c>
      <c r="AB107" s="105">
        <v>46276</v>
      </c>
      <c r="AC107" s="105">
        <v>46277</v>
      </c>
      <c r="AD107" s="103" t="s">
        <v>407</v>
      </c>
      <c r="AE107" s="106" t="s">
        <v>225</v>
      </c>
    </row>
    <row r="108" spans="1:31" x14ac:dyDescent="0.25">
      <c r="A108" s="103"/>
      <c r="B108" s="104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3"/>
      <c r="AB108" s="105"/>
      <c r="AC108" s="105"/>
      <c r="AD108" s="103"/>
      <c r="AE108" s="106"/>
    </row>
    <row r="109" spans="1:31" x14ac:dyDescent="0.25">
      <c r="A109" s="103"/>
      <c r="B109" s="104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3"/>
      <c r="AB109" s="105"/>
      <c r="AC109" s="105"/>
      <c r="AD109" s="103"/>
      <c r="AE109" s="106"/>
    </row>
  </sheetData>
  <conditionalFormatting sqref="V45:W45">
    <cfRule type="timePeriod" dxfId="0" priority="1" timePeriod="lastMonth">
      <formula>AND(MONTH(V45)=MONTH(EDATE(TODAY(),0-1)),YEAR(V45)=YEAR(EDATE(TODAY(),0-1)))</formula>
    </cfRule>
  </conditionalFormatting>
  <conditionalFormatting sqref="Y45:AC45">
    <cfRule type="timePeriod" dxfId="1" priority="2" timePeriod="lastMonth">
      <formula>AND(MONTH(Y45)=MONTH(EDATE(TODAY(),0-1)),YEAR(Y45)=YEAR(EDATE(TODAY(),0-1)))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>
      <selection activeCell="G14" sqref="G14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customWidth="1"/>
    <col min="7" max="7" width="13.453125" customWidth="1"/>
    <col min="8" max="8" width="142.7265625" customWidth="1"/>
  </cols>
  <sheetData>
    <row r="1" ht="30.75" customHeight="1" spans="1:7" x14ac:dyDescent="0.25">
      <c r="A1" s="108" t="s">
        <v>0</v>
      </c>
      <c r="B1" s="4"/>
      <c r="C1" s="4"/>
      <c r="D1" s="4"/>
      <c r="E1" s="4"/>
      <c r="F1" s="4"/>
      <c r="G1" s="4"/>
    </row>
    <row r="2" ht="15" customHeight="1" spans="1:8" x14ac:dyDescent="0.25">
      <c r="A2" s="109" t="s">
        <v>1</v>
      </c>
      <c r="B2" s="8" t="s">
        <v>2</v>
      </c>
      <c r="C2" s="110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11">
        <v>1</v>
      </c>
      <c r="B3" s="112" t="s">
        <v>331</v>
      </c>
      <c r="C3" s="113" t="s">
        <v>332</v>
      </c>
      <c r="D3" s="114" t="s">
        <v>793</v>
      </c>
      <c r="E3" s="115" t="s">
        <v>12</v>
      </c>
      <c r="F3" s="116" t="s">
        <v>19</v>
      </c>
      <c r="G3" s="117">
        <f>100+20</f>
        <v>120</v>
      </c>
      <c r="H3" s="45" t="s">
        <v>343</v>
      </c>
    </row>
    <row r="4" spans="1:8" x14ac:dyDescent="0.25">
      <c r="A4" s="111">
        <v>2</v>
      </c>
      <c r="B4" s="112" t="s">
        <v>344</v>
      </c>
      <c r="C4" s="113" t="s">
        <v>345</v>
      </c>
      <c r="D4" s="114" t="s">
        <v>794</v>
      </c>
      <c r="E4" s="115" t="s">
        <v>12</v>
      </c>
      <c r="F4" s="116" t="s">
        <v>19</v>
      </c>
      <c r="G4" s="117">
        <f>240+150</f>
        <v>390</v>
      </c>
      <c r="H4" s="44" t="s">
        <v>355</v>
      </c>
    </row>
    <row r="5" spans="1:8" x14ac:dyDescent="0.25">
      <c r="A5" s="111">
        <v>3</v>
      </c>
      <c r="B5" s="112" t="s">
        <v>344</v>
      </c>
      <c r="C5" s="113" t="s">
        <v>345</v>
      </c>
      <c r="D5" s="114" t="s">
        <v>794</v>
      </c>
      <c r="E5" s="115" t="s">
        <v>18</v>
      </c>
      <c r="F5" s="116" t="s">
        <v>19</v>
      </c>
      <c r="G5" s="117">
        <f>(69954+216220)/2600</f>
        <v>110.06692307692308</v>
      </c>
      <c r="H5" s="44" t="s">
        <v>355</v>
      </c>
    </row>
    <row r="6" spans="1:8" x14ac:dyDescent="0.25">
      <c r="A6" s="111">
        <v>4</v>
      </c>
      <c r="B6" s="112" t="s">
        <v>344</v>
      </c>
      <c r="C6" s="113" t="s">
        <v>345</v>
      </c>
      <c r="D6" s="114" t="s">
        <v>794</v>
      </c>
      <c r="E6" s="115" t="s">
        <v>12</v>
      </c>
      <c r="F6" s="116" t="s">
        <v>19</v>
      </c>
      <c r="G6" s="117">
        <v>40</v>
      </c>
      <c r="H6" s="44" t="s">
        <v>355</v>
      </c>
    </row>
    <row r="7" spans="1:8" x14ac:dyDescent="0.25">
      <c r="A7" s="111">
        <v>5</v>
      </c>
      <c r="B7" s="112" t="s">
        <v>308</v>
      </c>
      <c r="C7" s="113" t="s">
        <v>309</v>
      </c>
      <c r="D7" s="114" t="s">
        <v>310</v>
      </c>
      <c r="E7" s="115" t="s">
        <v>12</v>
      </c>
      <c r="F7" s="116" t="s">
        <v>19</v>
      </c>
      <c r="G7" s="117">
        <f>(405000+756000+216000)/2700</f>
        <v>510</v>
      </c>
      <c r="H7" s="44"/>
    </row>
    <row r="8" spans="1:8" x14ac:dyDescent="0.25">
      <c r="A8" s="111">
        <v>6</v>
      </c>
      <c r="B8" s="112" t="s">
        <v>308</v>
      </c>
      <c r="C8" s="113" t="s">
        <v>309</v>
      </c>
      <c r="D8" s="114" t="s">
        <v>310</v>
      </c>
      <c r="E8" s="115" t="s">
        <v>18</v>
      </c>
      <c r="F8" s="116" t="s">
        <v>19</v>
      </c>
      <c r="G8" s="117">
        <f>166000/2650</f>
        <v>62.64150943396226</v>
      </c>
      <c r="H8" s="44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8"/>
  <sheetViews>
    <sheetView workbookViewId="0" zoomScale="10" zoomScaleNormal="10">
      <selection activeCell="F500" sqref="F500"/>
    </sheetView>
  </sheetViews>
  <sheetFormatPr defaultRowHeight="14.5" outlineLevelRow="0" outlineLevelCol="0" x14ac:dyDescent="0.35" customHeight="1"/>
  <cols>
    <col min="1" max="1" width="19.81640625" customWidth="1"/>
    <col min="2" max="2" width="129.08984375" customWidth="1"/>
    <col min="5" max="5" width="19.81640625" customWidth="1"/>
    <col min="6" max="6" width="124.54296875" customWidth="1"/>
    <col min="9" max="9" width="19.81640625" customWidth="1"/>
    <col min="10" max="10" width="112.1796875" customWidth="1"/>
  </cols>
  <sheetData>
    <row r="1" spans="1:10" x14ac:dyDescent="0.25">
      <c r="A1" s="118" t="s">
        <v>795</v>
      </c>
      <c r="B1" s="119" t="s">
        <v>796</v>
      </c>
      <c r="E1" s="118" t="s">
        <v>795</v>
      </c>
      <c r="F1" s="119" t="s">
        <v>797</v>
      </c>
      <c r="I1" s="118" t="s">
        <v>795</v>
      </c>
      <c r="J1" s="119" t="s">
        <v>798</v>
      </c>
    </row>
    <row r="2" spans="1:10" x14ac:dyDescent="0.25">
      <c r="A2" s="118" t="s">
        <v>799</v>
      </c>
      <c r="B2" s="103" t="s">
        <v>324</v>
      </c>
      <c r="E2" s="118" t="s">
        <v>799</v>
      </c>
      <c r="F2" s="103" t="s">
        <v>16</v>
      </c>
      <c r="I2" s="118" t="s">
        <v>799</v>
      </c>
      <c r="J2" s="103" t="s">
        <v>373</v>
      </c>
    </row>
    <row r="3" spans="1:10" x14ac:dyDescent="0.25">
      <c r="A3" s="118" t="s">
        <v>282</v>
      </c>
      <c r="B3" s="120" t="s">
        <v>312</v>
      </c>
      <c r="E3" s="118" t="s">
        <v>282</v>
      </c>
      <c r="F3" s="120" t="s">
        <v>312</v>
      </c>
      <c r="I3" s="118" t="s">
        <v>282</v>
      </c>
      <c r="J3" s="120" t="s">
        <v>312</v>
      </c>
    </row>
    <row r="4" spans="1:10" x14ac:dyDescent="0.25">
      <c r="A4" s="118" t="s">
        <v>288</v>
      </c>
      <c r="B4" s="121" t="s">
        <v>327</v>
      </c>
      <c r="E4" s="118" t="s">
        <v>288</v>
      </c>
      <c r="F4" s="121" t="s">
        <v>361</v>
      </c>
      <c r="I4" s="118" t="s">
        <v>288</v>
      </c>
      <c r="J4" s="121" t="s">
        <v>379</v>
      </c>
    </row>
    <row r="5" spans="1:10" x14ac:dyDescent="0.25">
      <c r="A5" s="118" t="s">
        <v>800</v>
      </c>
      <c r="B5" s="105">
        <v>46200</v>
      </c>
      <c r="E5" s="118" t="s">
        <v>800</v>
      </c>
      <c r="F5" s="105">
        <v>46203</v>
      </c>
      <c r="I5" s="118" t="s">
        <v>800</v>
      </c>
      <c r="J5" s="105">
        <v>46226</v>
      </c>
    </row>
    <row r="6" spans="1:10" x14ac:dyDescent="0.25">
      <c r="A6" s="118" t="s">
        <v>294</v>
      </c>
      <c r="B6" s="105">
        <v>46211</v>
      </c>
      <c r="E6" s="118" t="s">
        <v>294</v>
      </c>
      <c r="F6" s="105">
        <v>46207</v>
      </c>
      <c r="I6" s="118" t="s">
        <v>294</v>
      </c>
      <c r="J6" s="105">
        <v>46223</v>
      </c>
    </row>
    <row r="7" spans="1:10" x14ac:dyDescent="0.25">
      <c r="A7" s="118" t="s">
        <v>295</v>
      </c>
      <c r="B7" s="122">
        <v>46212</v>
      </c>
      <c r="E7" s="118" t="s">
        <v>295</v>
      </c>
      <c r="F7" s="122">
        <v>46213</v>
      </c>
      <c r="I7" s="118" t="s">
        <v>295</v>
      </c>
      <c r="J7" s="122">
        <v>46228</v>
      </c>
    </row>
    <row r="8" spans="1:10" x14ac:dyDescent="0.25">
      <c r="A8" s="118" t="s">
        <v>296</v>
      </c>
      <c r="B8" s="105">
        <v>46219</v>
      </c>
      <c r="E8" s="118" t="s">
        <v>296</v>
      </c>
      <c r="F8" s="105">
        <v>46214</v>
      </c>
      <c r="I8" s="118" t="s">
        <v>296</v>
      </c>
      <c r="J8" s="105">
        <v>46228</v>
      </c>
    </row>
    <row r="9" spans="1:10" x14ac:dyDescent="0.25">
      <c r="A9" s="118" t="s">
        <v>297</v>
      </c>
      <c r="B9" s="105">
        <v>46213</v>
      </c>
      <c r="E9" s="118" t="s">
        <v>297</v>
      </c>
      <c r="F9" s="105">
        <v>46211</v>
      </c>
      <c r="I9" s="118" t="s">
        <v>297</v>
      </c>
      <c r="J9" s="105">
        <v>46230</v>
      </c>
    </row>
    <row r="10" spans="1:10" x14ac:dyDescent="0.25">
      <c r="A10" s="118" t="s">
        <v>298</v>
      </c>
      <c r="B10" s="105">
        <v>46225</v>
      </c>
      <c r="E10" s="118" t="s">
        <v>298</v>
      </c>
      <c r="F10" s="105">
        <v>46220</v>
      </c>
      <c r="I10" s="118" t="s">
        <v>298</v>
      </c>
      <c r="J10" s="105">
        <v>46233</v>
      </c>
    </row>
    <row r="11" spans="1:10" x14ac:dyDescent="0.25">
      <c r="A11" s="118" t="s">
        <v>299</v>
      </c>
      <c r="B11" s="105">
        <v>46225</v>
      </c>
      <c r="E11" s="118" t="s">
        <v>299</v>
      </c>
      <c r="F11" s="105">
        <v>46220</v>
      </c>
      <c r="I11" s="118" t="s">
        <v>299</v>
      </c>
      <c r="J11" s="105">
        <v>46233</v>
      </c>
    </row>
    <row r="12" spans="1:10" x14ac:dyDescent="0.25">
      <c r="A12" s="118" t="s">
        <v>300</v>
      </c>
      <c r="B12" s="105">
        <v>46216</v>
      </c>
      <c r="E12" s="118" t="s">
        <v>300</v>
      </c>
      <c r="F12" s="105">
        <v>46214</v>
      </c>
      <c r="I12" s="118" t="s">
        <v>300</v>
      </c>
      <c r="J12" s="105">
        <v>46231</v>
      </c>
    </row>
    <row r="13" spans="1:10" x14ac:dyDescent="0.25">
      <c r="A13" s="118" t="s">
        <v>301</v>
      </c>
      <c r="B13" s="105">
        <v>46225</v>
      </c>
      <c r="E13" s="118" t="s">
        <v>301</v>
      </c>
      <c r="F13" s="105">
        <v>46237</v>
      </c>
      <c r="I13" s="118" t="s">
        <v>301</v>
      </c>
      <c r="J13" s="105">
        <v>46237</v>
      </c>
    </row>
    <row r="14" spans="1:10" x14ac:dyDescent="0.25">
      <c r="A14" s="118" t="s">
        <v>801</v>
      </c>
      <c r="B14" s="121">
        <f>IF(OR(B13="",B12=""),"",B13-B12)</f>
        <v>9</v>
      </c>
      <c r="E14" s="118" t="s">
        <v>801</v>
      </c>
      <c r="F14" s="121">
        <f>IF(OR(F13="",F12=""),"",F13-F12)</f>
        <v>23</v>
      </c>
      <c r="I14" s="118" t="s">
        <v>801</v>
      </c>
      <c r="J14" s="121">
        <f>IF(OR(J13="",J12=""),"",J13-J12)</f>
        <v>6</v>
      </c>
    </row>
    <row r="15" spans="1:10" x14ac:dyDescent="0.25">
      <c r="A15" s="118" t="s">
        <v>303</v>
      </c>
      <c r="B15" s="103" t="s">
        <v>802</v>
      </c>
      <c r="E15" s="118" t="s">
        <v>303</v>
      </c>
      <c r="F15" s="103" t="s">
        <v>364</v>
      </c>
      <c r="I15" s="118" t="s">
        <v>303</v>
      </c>
      <c r="J15" s="103" t="s">
        <v>382</v>
      </c>
    </row>
    <row r="16" spans="1:10" x14ac:dyDescent="0.25">
      <c r="A16" s="118" t="s">
        <v>311</v>
      </c>
      <c r="B16" s="122">
        <v>46225</v>
      </c>
      <c r="E16" s="118" t="s">
        <v>311</v>
      </c>
      <c r="F16" s="122">
        <v>46239</v>
      </c>
      <c r="I16" s="118" t="s">
        <v>311</v>
      </c>
      <c r="J16" s="122">
        <v>46238</v>
      </c>
    </row>
    <row r="17" spans="1:10" x14ac:dyDescent="0.25">
      <c r="A17" s="123" t="s">
        <v>803</v>
      </c>
      <c r="B17" s="124">
        <f>IF(OR(B8="",B6=""),"",B8-B6)</f>
        <v>8</v>
      </c>
      <c r="E17" s="123" t="s">
        <v>803</v>
      </c>
      <c r="F17" s="124">
        <f>IF(OR(F8="",F6=""),"",F8-F6)</f>
        <v>7</v>
      </c>
      <c r="I17" s="123" t="s">
        <v>803</v>
      </c>
      <c r="J17" s="124">
        <f>IF(OR(J8="",J6=""),"",J8-J6)</f>
        <v>5</v>
      </c>
    </row>
    <row r="18" spans="1:10" x14ac:dyDescent="0.25">
      <c r="A18" s="118" t="s">
        <v>804</v>
      </c>
      <c r="B18" s="125">
        <f>IF(OR(B5="",B6=""),"",B5-B6)</f>
        <v>-11</v>
      </c>
      <c r="E18" s="118" t="s">
        <v>804</v>
      </c>
      <c r="F18" s="125">
        <f>IF(OR(F5="",F6=""),"",F5-F6)</f>
        <v>-4</v>
      </c>
      <c r="I18" s="118" t="s">
        <v>804</v>
      </c>
      <c r="J18" s="125">
        <f>IF(OR(J5="",J6=""),"",J5-J6)</f>
        <v>3</v>
      </c>
    </row>
    <row r="19" spans="1:10" x14ac:dyDescent="0.25">
      <c r="A19" s="123" t="s">
        <v>805</v>
      </c>
      <c r="B19" s="126">
        <v>270</v>
      </c>
      <c r="E19" s="123" t="s">
        <v>805</v>
      </c>
      <c r="F19" s="126"/>
      <c r="I19" s="123" t="s">
        <v>805</v>
      </c>
      <c r="J19" s="126">
        <v>190</v>
      </c>
    </row>
    <row r="20" spans="1:10" x14ac:dyDescent="0.25">
      <c r="A20" s="123" t="s">
        <v>806</v>
      </c>
      <c r="B20" s="127"/>
      <c r="E20" s="123" t="s">
        <v>806</v>
      </c>
      <c r="F20" s="127">
        <v>1045.805303030303</v>
      </c>
      <c r="I20" s="123" t="s">
        <v>806</v>
      </c>
      <c r="J20" s="127"/>
    </row>
    <row r="21" spans="1:10" x14ac:dyDescent="0.25">
      <c r="A21" s="123" t="s">
        <v>307</v>
      </c>
      <c r="B21" s="128" t="s">
        <v>330</v>
      </c>
      <c r="E21" s="123" t="s">
        <v>307</v>
      </c>
      <c r="F21" s="128" t="s">
        <v>366</v>
      </c>
      <c r="I21" s="123" t="s">
        <v>307</v>
      </c>
      <c r="J21" s="128" t="s">
        <v>384</v>
      </c>
    </row>
    <row r="22" spans="1:10" x14ac:dyDescent="0.25">
      <c r="A22" s="123" t="s">
        <v>807</v>
      </c>
      <c r="B22" s="129">
        <v>0</v>
      </c>
      <c r="E22" s="123" t="s">
        <v>807</v>
      </c>
      <c r="F22" s="129">
        <v>0</v>
      </c>
      <c r="I22" s="123" t="s">
        <v>807</v>
      </c>
      <c r="J22" s="129">
        <v>0</v>
      </c>
    </row>
    <row r="23" spans="1:10" x14ac:dyDescent="0.25">
      <c r="A23" s="123" t="s">
        <v>808</v>
      </c>
      <c r="B23" s="128">
        <v>0</v>
      </c>
      <c r="E23" s="123" t="s">
        <v>808</v>
      </c>
      <c r="F23" s="128">
        <v>0</v>
      </c>
      <c r="I23" s="123" t="s">
        <v>808</v>
      </c>
      <c r="J23" s="128">
        <v>0</v>
      </c>
    </row>
    <row r="24" spans="1:10" x14ac:dyDescent="0.25">
      <c r="A24" s="123" t="s">
        <v>809</v>
      </c>
      <c r="B24" s="128">
        <f>SUM(B19:B20)</f>
        <v>270</v>
      </c>
      <c r="E24" s="123" t="s">
        <v>809</v>
      </c>
      <c r="F24" s="128">
        <f>SUM(F19:F20)</f>
        <v>1045.8053</v>
      </c>
      <c r="I24" s="123" t="s">
        <v>809</v>
      </c>
      <c r="J24" s="128">
        <f>SUM(J19:J20)</f>
        <v>190</v>
      </c>
    </row>
    <row r="26" spans="1:10" x14ac:dyDescent="0.25">
      <c r="A26" s="118"/>
      <c r="B26" s="119"/>
      <c r="E26" s="118"/>
      <c r="F26" s="119"/>
      <c r="I26" s="118"/>
      <c r="J26" s="119"/>
    </row>
    <row r="27" spans="1:10" x14ac:dyDescent="0.25">
      <c r="A27" s="118" t="s">
        <v>795</v>
      </c>
      <c r="B27" s="119" t="s">
        <v>810</v>
      </c>
      <c r="E27" s="118" t="s">
        <v>795</v>
      </c>
      <c r="F27" s="119" t="s">
        <v>811</v>
      </c>
      <c r="I27" s="118" t="s">
        <v>795</v>
      </c>
      <c r="J27" s="119" t="s">
        <v>812</v>
      </c>
    </row>
    <row r="28" spans="1:10" x14ac:dyDescent="0.25">
      <c r="A28" s="118" t="s">
        <v>799</v>
      </c>
      <c r="B28" s="103" t="s">
        <v>26</v>
      </c>
      <c r="E28" s="118" t="s">
        <v>799</v>
      </c>
      <c r="F28" s="103" t="s">
        <v>30</v>
      </c>
      <c r="I28" s="118" t="s">
        <v>799</v>
      </c>
      <c r="J28" s="103">
        <v>271578337</v>
      </c>
    </row>
    <row r="29" spans="1:10" x14ac:dyDescent="0.25">
      <c r="A29" s="118" t="s">
        <v>282</v>
      </c>
      <c r="B29" s="120" t="s">
        <v>312</v>
      </c>
      <c r="E29" s="118" t="s">
        <v>282</v>
      </c>
      <c r="F29" s="120" t="s">
        <v>312</v>
      </c>
      <c r="I29" s="118" t="s">
        <v>282</v>
      </c>
      <c r="J29" s="120" t="s">
        <v>312</v>
      </c>
    </row>
    <row r="30" spans="1:10" x14ac:dyDescent="0.25">
      <c r="A30" s="118" t="s">
        <v>288</v>
      </c>
      <c r="B30" s="121" t="s">
        <v>379</v>
      </c>
      <c r="E30" s="118" t="s">
        <v>288</v>
      </c>
      <c r="F30" s="121" t="s">
        <v>379</v>
      </c>
      <c r="I30" s="118" t="s">
        <v>288</v>
      </c>
      <c r="J30" s="121" t="s">
        <v>411</v>
      </c>
    </row>
    <row r="31" spans="1:10" x14ac:dyDescent="0.25">
      <c r="A31" s="118" t="s">
        <v>800</v>
      </c>
      <c r="B31" s="105">
        <v>46226</v>
      </c>
      <c r="E31" s="118" t="s">
        <v>800</v>
      </c>
      <c r="F31" s="105">
        <v>46234</v>
      </c>
      <c r="I31" s="118" t="s">
        <v>800</v>
      </c>
      <c r="J31" s="105">
        <v>46182</v>
      </c>
    </row>
    <row r="32" spans="1:10" x14ac:dyDescent="0.25">
      <c r="A32" s="118" t="s">
        <v>294</v>
      </c>
      <c r="B32" s="105">
        <v>46211</v>
      </c>
      <c r="E32" s="118" t="s">
        <v>294</v>
      </c>
      <c r="F32" s="105">
        <v>46232</v>
      </c>
      <c r="I32" s="118" t="s">
        <v>294</v>
      </c>
      <c r="J32" s="105">
        <v>46201</v>
      </c>
    </row>
    <row r="33" spans="1:10" x14ac:dyDescent="0.25">
      <c r="A33" s="118" t="s">
        <v>295</v>
      </c>
      <c r="B33" s="122">
        <v>46212</v>
      </c>
      <c r="E33" s="118" t="s">
        <v>295</v>
      </c>
      <c r="F33" s="105">
        <v>46232</v>
      </c>
      <c r="I33" s="118" t="s">
        <v>295</v>
      </c>
      <c r="J33" s="122">
        <v>46217</v>
      </c>
    </row>
    <row r="34" spans="1:10" x14ac:dyDescent="0.25">
      <c r="A34" s="118" t="s">
        <v>296</v>
      </c>
      <c r="B34" s="105">
        <v>46228</v>
      </c>
      <c r="E34" s="118" t="s">
        <v>296</v>
      </c>
      <c r="F34" s="105">
        <v>46239</v>
      </c>
      <c r="I34" s="118" t="s">
        <v>296</v>
      </c>
      <c r="J34" s="105">
        <v>46211</v>
      </c>
    </row>
    <row r="35" spans="1:10" x14ac:dyDescent="0.25">
      <c r="A35" s="118" t="s">
        <v>297</v>
      </c>
      <c r="B35" s="105">
        <v>46226</v>
      </c>
      <c r="E35" s="118" t="s">
        <v>297</v>
      </c>
      <c r="F35" s="105">
        <v>46234</v>
      </c>
      <c r="I35" s="118" t="s">
        <v>297</v>
      </c>
      <c r="J35" s="105">
        <v>46202</v>
      </c>
    </row>
    <row r="36" spans="1:10" x14ac:dyDescent="0.25">
      <c r="A36" s="118" t="s">
        <v>298</v>
      </c>
      <c r="B36" s="105">
        <v>46233</v>
      </c>
      <c r="E36" s="118" t="s">
        <v>298</v>
      </c>
      <c r="F36" s="105">
        <v>46241</v>
      </c>
      <c r="I36" s="118" t="s">
        <v>298</v>
      </c>
      <c r="J36" s="105">
        <v>46221</v>
      </c>
    </row>
    <row r="37" spans="1:10" x14ac:dyDescent="0.25">
      <c r="A37" s="118" t="s">
        <v>299</v>
      </c>
      <c r="B37" s="105">
        <v>46233</v>
      </c>
      <c r="E37" s="118" t="s">
        <v>299</v>
      </c>
      <c r="F37" s="105">
        <v>46241</v>
      </c>
      <c r="I37" s="118" t="s">
        <v>299</v>
      </c>
      <c r="J37" s="105">
        <v>46240</v>
      </c>
    </row>
    <row r="38" spans="1:10" x14ac:dyDescent="0.25">
      <c r="A38" s="118" t="s">
        <v>300</v>
      </c>
      <c r="B38" s="105">
        <v>46233</v>
      </c>
      <c r="E38" s="118" t="s">
        <v>300</v>
      </c>
      <c r="F38" s="105">
        <v>46239</v>
      </c>
      <c r="I38" s="118" t="s">
        <v>300</v>
      </c>
      <c r="J38" s="105">
        <v>46218</v>
      </c>
    </row>
    <row r="39" spans="1:10" x14ac:dyDescent="0.25">
      <c r="A39" s="118" t="s">
        <v>301</v>
      </c>
      <c r="B39" s="105">
        <v>46239</v>
      </c>
      <c r="E39" s="118" t="s">
        <v>301</v>
      </c>
      <c r="F39" s="105">
        <v>46239</v>
      </c>
      <c r="I39" s="118" t="s">
        <v>301</v>
      </c>
      <c r="J39" s="105">
        <v>46230</v>
      </c>
    </row>
    <row r="40" spans="1:10" x14ac:dyDescent="0.25">
      <c r="A40" s="118" t="s">
        <v>801</v>
      </c>
      <c r="B40" s="121">
        <f>IF(OR(B39="",B38=""),"",B39-B38)</f>
        <v>6</v>
      </c>
      <c r="E40" s="118" t="s">
        <v>801</v>
      </c>
      <c r="F40" s="121">
        <f>IF(OR(F39="",F38=""),"",F39-F38)</f>
        <v>0</v>
      </c>
      <c r="I40" s="118" t="s">
        <v>801</v>
      </c>
      <c r="J40" s="121">
        <f>IF(OR(J39="",J38=""),"",J39-J38)</f>
        <v>12</v>
      </c>
    </row>
    <row r="41" spans="1:10" x14ac:dyDescent="0.25">
      <c r="A41" s="118" t="s">
        <v>303</v>
      </c>
      <c r="B41" s="103" t="s">
        <v>398</v>
      </c>
      <c r="E41" s="118" t="s">
        <v>303</v>
      </c>
      <c r="F41" s="103" t="s">
        <v>406</v>
      </c>
      <c r="I41" s="118" t="s">
        <v>303</v>
      </c>
      <c r="J41" s="103" t="s">
        <v>414</v>
      </c>
    </row>
    <row r="42" spans="1:10" x14ac:dyDescent="0.25">
      <c r="A42" s="118" t="s">
        <v>311</v>
      </c>
      <c r="B42" s="122">
        <v>46241</v>
      </c>
      <c r="E42" s="118" t="s">
        <v>311</v>
      </c>
      <c r="F42" s="122">
        <v>46241</v>
      </c>
      <c r="I42" s="118" t="s">
        <v>311</v>
      </c>
      <c r="J42" s="122">
        <v>46241</v>
      </c>
    </row>
    <row r="43" spans="1:10" x14ac:dyDescent="0.25">
      <c r="A43" s="123" t="s">
        <v>803</v>
      </c>
      <c r="B43" s="124">
        <f>IF(OR(B34="",B32=""),"",B34-B32)</f>
        <v>17</v>
      </c>
      <c r="E43" s="123" t="s">
        <v>803</v>
      </c>
      <c r="F43" s="124">
        <f>IF(OR(F34="",F32=""),"",F34-F32)</f>
        <v>7</v>
      </c>
      <c r="I43" s="123" t="s">
        <v>803</v>
      </c>
      <c r="J43" s="124">
        <f>IF(OR(J34="",J32=""),"",J34-J32)</f>
        <v>10</v>
      </c>
    </row>
    <row r="44" spans="1:10" x14ac:dyDescent="0.25">
      <c r="A44" s="118" t="s">
        <v>804</v>
      </c>
      <c r="B44" s="125">
        <f>IF(OR(B31="",B32=""),"",B31-B32)</f>
        <v>15</v>
      </c>
      <c r="E44" s="118" t="s">
        <v>804</v>
      </c>
      <c r="F44" s="125">
        <f>IF(OR(F31="",F32=""),"",F31-F32)</f>
        <v>2</v>
      </c>
      <c r="I44" s="118" t="s">
        <v>804</v>
      </c>
      <c r="J44" s="125">
        <f>IF(OR(J31="",J32=""),"",J31-J32)</f>
        <v>-19</v>
      </c>
    </row>
    <row r="45" spans="1:10" x14ac:dyDescent="0.25">
      <c r="A45" s="123" t="s">
        <v>805</v>
      </c>
      <c r="B45" s="126">
        <v>365</v>
      </c>
      <c r="E45" s="123" t="s">
        <v>805</v>
      </c>
      <c r="F45" s="126">
        <v>566</v>
      </c>
      <c r="I45" s="123" t="s">
        <v>805</v>
      </c>
      <c r="J45" s="126"/>
    </row>
    <row r="46" spans="1:10" x14ac:dyDescent="0.25">
      <c r="A46" s="123" t="s">
        <v>806</v>
      </c>
      <c r="B46" s="127">
        <v>220.98461538461538</v>
      </c>
      <c r="E46" s="123" t="s">
        <v>806</v>
      </c>
      <c r="F46" s="127">
        <v>500</v>
      </c>
      <c r="I46" s="123" t="s">
        <v>806</v>
      </c>
      <c r="J46" s="127"/>
    </row>
    <row r="47" spans="1:10" x14ac:dyDescent="0.25">
      <c r="A47" s="123" t="s">
        <v>307</v>
      </c>
      <c r="B47" s="128" t="s">
        <v>28</v>
      </c>
      <c r="E47" s="123" t="s">
        <v>307</v>
      </c>
      <c r="F47" s="128" t="s">
        <v>32</v>
      </c>
      <c r="I47" s="123" t="s">
        <v>307</v>
      </c>
      <c r="J47" s="128" t="s">
        <v>416</v>
      </c>
    </row>
    <row r="48" spans="1:10" x14ac:dyDescent="0.25">
      <c r="A48" s="123" t="s">
        <v>807</v>
      </c>
      <c r="B48" s="129">
        <v>0</v>
      </c>
      <c r="E48" s="123" t="s">
        <v>807</v>
      </c>
      <c r="F48" s="129">
        <v>0</v>
      </c>
      <c r="I48" s="123" t="s">
        <v>807</v>
      </c>
      <c r="J48" s="129">
        <v>0</v>
      </c>
    </row>
    <row r="49" spans="1:10" x14ac:dyDescent="0.25">
      <c r="A49" s="123" t="s">
        <v>808</v>
      </c>
      <c r="B49" s="128">
        <v>0</v>
      </c>
      <c r="E49" s="123" t="s">
        <v>808</v>
      </c>
      <c r="F49" s="128">
        <v>0</v>
      </c>
      <c r="I49" s="123" t="s">
        <v>808</v>
      </c>
      <c r="J49" s="128">
        <v>220</v>
      </c>
    </row>
    <row r="50" spans="1:10" x14ac:dyDescent="0.25">
      <c r="A50" s="123" t="s">
        <v>809</v>
      </c>
      <c r="B50" s="128">
        <f>SUM(B45:B46)</f>
        <v>585.9846</v>
      </c>
      <c r="E50" s="123" t="s">
        <v>809</v>
      </c>
      <c r="F50" s="128">
        <f>SUM(F45:F46)</f>
        <v>1066</v>
      </c>
      <c r="I50" s="123" t="s">
        <v>809</v>
      </c>
      <c r="J50" s="128">
        <v>220</v>
      </c>
    </row>
    <row r="52" spans="1:10" x14ac:dyDescent="0.25">
      <c r="A52" s="118"/>
      <c r="B52" s="119"/>
      <c r="E52" s="118"/>
      <c r="F52" s="119"/>
      <c r="I52" s="118"/>
      <c r="J52" s="119"/>
    </row>
    <row r="53" spans="1:10" x14ac:dyDescent="0.25">
      <c r="A53" s="118" t="s">
        <v>795</v>
      </c>
      <c r="B53" s="119" t="s">
        <v>813</v>
      </c>
      <c r="E53" s="118" t="s">
        <v>795</v>
      </c>
      <c r="F53" s="119" t="s">
        <v>814</v>
      </c>
      <c r="I53" s="118" t="s">
        <v>795</v>
      </c>
      <c r="J53" s="119" t="s">
        <v>815</v>
      </c>
    </row>
    <row r="54" spans="1:10" x14ac:dyDescent="0.25">
      <c r="A54" s="118" t="s">
        <v>799</v>
      </c>
      <c r="B54" s="103" t="s">
        <v>417</v>
      </c>
      <c r="E54" s="118" t="s">
        <v>799</v>
      </c>
      <c r="F54" s="103" t="s">
        <v>41</v>
      </c>
      <c r="I54" s="118" t="s">
        <v>799</v>
      </c>
      <c r="J54" s="103" t="s">
        <v>44</v>
      </c>
    </row>
    <row r="55" spans="1:10" x14ac:dyDescent="0.25">
      <c r="A55" s="118" t="s">
        <v>282</v>
      </c>
      <c r="B55" s="120" t="s">
        <v>312</v>
      </c>
      <c r="E55" s="118" t="s">
        <v>282</v>
      </c>
      <c r="F55" s="120" t="s">
        <v>312</v>
      </c>
      <c r="I55" s="118" t="s">
        <v>282</v>
      </c>
      <c r="J55" s="120" t="s">
        <v>312</v>
      </c>
    </row>
    <row r="56" spans="1:10" x14ac:dyDescent="0.25">
      <c r="A56" s="118" t="s">
        <v>288</v>
      </c>
      <c r="B56" s="121" t="s">
        <v>422</v>
      </c>
      <c r="E56" s="118" t="s">
        <v>288</v>
      </c>
      <c r="F56" s="121" t="s">
        <v>361</v>
      </c>
      <c r="I56" s="118" t="s">
        <v>288</v>
      </c>
      <c r="J56" s="121" t="s">
        <v>437</v>
      </c>
    </row>
    <row r="57" spans="1:10" x14ac:dyDescent="0.25">
      <c r="A57" s="118" t="s">
        <v>800</v>
      </c>
      <c r="B57" s="105">
        <v>46202</v>
      </c>
      <c r="E57" s="118" t="s">
        <v>800</v>
      </c>
      <c r="F57" s="105">
        <v>46203</v>
      </c>
      <c r="I57" s="118" t="s">
        <v>800</v>
      </c>
      <c r="J57" s="105">
        <v>46208</v>
      </c>
    </row>
    <row r="58" spans="1:10" x14ac:dyDescent="0.25">
      <c r="A58" s="118" t="s">
        <v>294</v>
      </c>
      <c r="B58" s="105">
        <v>46211</v>
      </c>
      <c r="E58" s="118" t="s">
        <v>294</v>
      </c>
      <c r="F58" s="105">
        <v>46208</v>
      </c>
      <c r="I58" s="118" t="s">
        <v>294</v>
      </c>
      <c r="J58" s="105">
        <v>46216</v>
      </c>
    </row>
    <row r="59" spans="1:10" x14ac:dyDescent="0.25">
      <c r="A59" s="118" t="s">
        <v>295</v>
      </c>
      <c r="B59" s="122">
        <v>46211</v>
      </c>
      <c r="E59" s="118" t="s">
        <v>295</v>
      </c>
      <c r="F59" s="122">
        <v>46209</v>
      </c>
      <c r="I59" s="118" t="s">
        <v>295</v>
      </c>
      <c r="J59" s="122">
        <v>46217</v>
      </c>
    </row>
    <row r="60" spans="1:10" x14ac:dyDescent="0.25">
      <c r="A60" s="118" t="s">
        <v>296</v>
      </c>
      <c r="B60" s="105">
        <v>46219</v>
      </c>
      <c r="E60" s="118" t="s">
        <v>296</v>
      </c>
      <c r="F60" s="105">
        <v>46214</v>
      </c>
      <c r="I60" s="118" t="s">
        <v>296</v>
      </c>
      <c r="J60" s="105">
        <v>46240</v>
      </c>
    </row>
    <row r="61" spans="1:10" x14ac:dyDescent="0.25">
      <c r="A61" s="118" t="s">
        <v>297</v>
      </c>
      <c r="B61" s="105">
        <v>46217</v>
      </c>
      <c r="E61" s="118" t="s">
        <v>297</v>
      </c>
      <c r="F61" s="105">
        <v>46209</v>
      </c>
      <c r="I61" s="118" t="s">
        <v>297</v>
      </c>
      <c r="J61" s="105">
        <v>46217</v>
      </c>
    </row>
    <row r="62" spans="1:10" x14ac:dyDescent="0.25">
      <c r="A62" s="118" t="s">
        <v>298</v>
      </c>
      <c r="B62" s="105">
        <v>46225</v>
      </c>
      <c r="E62" s="118" t="s">
        <v>298</v>
      </c>
      <c r="F62" s="105">
        <v>46216</v>
      </c>
      <c r="I62" s="118" t="s">
        <v>298</v>
      </c>
      <c r="J62" s="105">
        <v>46245</v>
      </c>
    </row>
    <row r="63" spans="1:10" x14ac:dyDescent="0.25">
      <c r="A63" s="118" t="s">
        <v>299</v>
      </c>
      <c r="B63" s="105">
        <v>46225</v>
      </c>
      <c r="E63" s="118" t="s">
        <v>299</v>
      </c>
      <c r="F63" s="105">
        <v>46216</v>
      </c>
      <c r="I63" s="118" t="s">
        <v>299</v>
      </c>
      <c r="J63" s="105">
        <v>46245</v>
      </c>
    </row>
    <row r="64" spans="1:10" x14ac:dyDescent="0.25">
      <c r="A64" s="118" t="s">
        <v>300</v>
      </c>
      <c r="B64" s="105">
        <v>46218</v>
      </c>
      <c r="E64" s="118" t="s">
        <v>300</v>
      </c>
      <c r="F64" s="105">
        <v>46214</v>
      </c>
      <c r="I64" s="118" t="s">
        <v>300</v>
      </c>
      <c r="J64" s="105">
        <v>46218</v>
      </c>
    </row>
    <row r="65" spans="1:10" x14ac:dyDescent="0.25">
      <c r="A65" s="118" t="s">
        <v>301</v>
      </c>
      <c r="B65" s="105">
        <v>46239</v>
      </c>
      <c r="E65" s="118" t="s">
        <v>301</v>
      </c>
      <c r="F65" s="105">
        <v>46239</v>
      </c>
      <c r="I65" s="118" t="s">
        <v>301</v>
      </c>
      <c r="J65" s="105">
        <v>46241</v>
      </c>
    </row>
    <row r="66" spans="1:10" x14ac:dyDescent="0.25">
      <c r="A66" s="118" t="s">
        <v>801</v>
      </c>
      <c r="B66" s="121">
        <f>IF(OR(B65="",B64=""),"",B65-B64)</f>
        <v>21</v>
      </c>
      <c r="E66" s="118" t="s">
        <v>801</v>
      </c>
      <c r="F66" s="121">
        <f>IF(OR(F65="",F64=""),"",F65-F64)</f>
        <v>25</v>
      </c>
      <c r="I66" s="118" t="s">
        <v>801</v>
      </c>
      <c r="J66" s="121">
        <f>IF(OR(J65="",J64=""),"",J65-J64)</f>
        <v>23</v>
      </c>
    </row>
    <row r="67" spans="1:10" x14ac:dyDescent="0.25">
      <c r="A67" s="118" t="s">
        <v>303</v>
      </c>
      <c r="B67" s="103" t="s">
        <v>424</v>
      </c>
      <c r="E67" s="118" t="s">
        <v>303</v>
      </c>
      <c r="F67" s="103" t="s">
        <v>430</v>
      </c>
      <c r="I67" s="118" t="s">
        <v>303</v>
      </c>
      <c r="J67" s="103" t="s">
        <v>439</v>
      </c>
    </row>
    <row r="68" spans="1:10" x14ac:dyDescent="0.25">
      <c r="A68" s="118" t="s">
        <v>311</v>
      </c>
      <c r="B68" s="122">
        <v>46245</v>
      </c>
      <c r="E68" s="118" t="s">
        <v>311</v>
      </c>
      <c r="F68" s="122">
        <v>46246</v>
      </c>
      <c r="I68" s="118" t="s">
        <v>311</v>
      </c>
      <c r="J68" s="122">
        <v>46246</v>
      </c>
    </row>
    <row r="69" spans="1:10" x14ac:dyDescent="0.25">
      <c r="A69" s="123" t="s">
        <v>803</v>
      </c>
      <c r="B69" s="124">
        <f>IF(OR(B60="",B58=""),"",B60-B58)</f>
        <v>8</v>
      </c>
      <c r="E69" s="123" t="s">
        <v>803</v>
      </c>
      <c r="F69" s="124">
        <f>IF(OR(F60="",F58=""),"",F60-F58)</f>
        <v>6</v>
      </c>
      <c r="I69" s="123" t="s">
        <v>803</v>
      </c>
      <c r="J69" s="124">
        <f>IF(OR(J60="",J58=""),"",J60-J58)</f>
        <v>24</v>
      </c>
    </row>
    <row r="70" spans="1:10" x14ac:dyDescent="0.25">
      <c r="A70" s="118" t="s">
        <v>804</v>
      </c>
      <c r="B70" s="125">
        <f>IF(OR(B57="",B58=""),"",B57-B58)</f>
        <v>-9</v>
      </c>
      <c r="E70" s="118" t="s">
        <v>804</v>
      </c>
      <c r="F70" s="125">
        <f>IF(OR(F57="",F58=""),"",F57-F58)</f>
        <v>-5</v>
      </c>
      <c r="I70" s="118" t="s">
        <v>804</v>
      </c>
      <c r="J70" s="125">
        <f>IF(OR(J57="",J58=""),"",J57-J58)</f>
        <v>-8</v>
      </c>
    </row>
    <row r="71" spans="1:10" x14ac:dyDescent="0.25">
      <c r="A71" s="123" t="s">
        <v>805</v>
      </c>
      <c r="B71" s="126">
        <v>630</v>
      </c>
      <c r="E71" s="123" t="s">
        <v>805</v>
      </c>
      <c r="F71" s="126">
        <v>955.96</v>
      </c>
      <c r="I71" s="123" t="s">
        <v>805</v>
      </c>
      <c r="J71" s="126"/>
    </row>
    <row r="72" spans="1:10" x14ac:dyDescent="0.25">
      <c r="A72" s="123" t="s">
        <v>806</v>
      </c>
      <c r="B72" s="127">
        <v>303.5596226415094</v>
      </c>
      <c r="E72" s="123" t="s">
        <v>806</v>
      </c>
      <c r="F72" s="127">
        <v>368.6079245283019</v>
      </c>
      <c r="I72" s="123" t="s">
        <v>806</v>
      </c>
      <c r="J72" s="127">
        <v>205.6856603773585</v>
      </c>
    </row>
    <row r="73" spans="1:10" x14ac:dyDescent="0.25">
      <c r="A73" s="123" t="s">
        <v>307</v>
      </c>
      <c r="B73" s="128" t="s">
        <v>425</v>
      </c>
      <c r="E73" s="123" t="s">
        <v>307</v>
      </c>
      <c r="F73" s="128" t="s">
        <v>432</v>
      </c>
      <c r="I73" s="123" t="s">
        <v>307</v>
      </c>
      <c r="J73" s="128" t="s">
        <v>440</v>
      </c>
    </row>
    <row r="74" spans="1:10" x14ac:dyDescent="0.25">
      <c r="A74" s="123" t="s">
        <v>807</v>
      </c>
      <c r="B74" s="129">
        <v>0</v>
      </c>
      <c r="E74" s="123" t="s">
        <v>807</v>
      </c>
      <c r="F74" s="129">
        <v>0</v>
      </c>
      <c r="I74" s="123" t="s">
        <v>807</v>
      </c>
      <c r="J74" s="129">
        <v>0</v>
      </c>
    </row>
    <row r="75" spans="1:10" x14ac:dyDescent="0.25">
      <c r="A75" s="123" t="s">
        <v>808</v>
      </c>
      <c r="B75" s="128">
        <v>0</v>
      </c>
      <c r="E75" s="123" t="s">
        <v>808</v>
      </c>
      <c r="F75" s="128">
        <v>0</v>
      </c>
      <c r="I75" s="123" t="s">
        <v>808</v>
      </c>
      <c r="J75" s="128">
        <v>0</v>
      </c>
    </row>
    <row r="76" spans="1:10" x14ac:dyDescent="0.25">
      <c r="A76" s="123" t="s">
        <v>809</v>
      </c>
      <c r="B76" s="128">
        <f>SUM(B71:B72)</f>
        <v>933.5596</v>
      </c>
      <c r="E76" s="123" t="s">
        <v>809</v>
      </c>
      <c r="F76" s="128">
        <f>SUM(F71:F72)</f>
        <v>1324.5679</v>
      </c>
      <c r="I76" s="123" t="s">
        <v>809</v>
      </c>
      <c r="J76" s="128">
        <f>SUM(J71:J72)</f>
        <v>205.6857</v>
      </c>
    </row>
    <row r="78" spans="1:10" x14ac:dyDescent="0.25">
      <c r="A78" s="118"/>
      <c r="B78" s="119"/>
      <c r="E78" s="118"/>
      <c r="F78" s="119"/>
      <c r="I78" s="118"/>
      <c r="J78" s="119"/>
    </row>
    <row r="79" spans="1:10" x14ac:dyDescent="0.25">
      <c r="A79" s="118" t="s">
        <v>795</v>
      </c>
      <c r="B79" s="119" t="s">
        <v>816</v>
      </c>
      <c r="E79" s="118" t="s">
        <v>795</v>
      </c>
      <c r="F79" s="119" t="s">
        <v>817</v>
      </c>
      <c r="I79" s="118" t="s">
        <v>795</v>
      </c>
      <c r="J79" s="119" t="s">
        <v>818</v>
      </c>
    </row>
    <row r="80" spans="1:10" x14ac:dyDescent="0.25">
      <c r="A80" s="118" t="s">
        <v>799</v>
      </c>
      <c r="B80" s="103" t="s">
        <v>47</v>
      </c>
      <c r="E80" s="118" t="s">
        <v>799</v>
      </c>
      <c r="F80" s="103" t="s">
        <v>51</v>
      </c>
      <c r="I80" s="118" t="s">
        <v>799</v>
      </c>
      <c r="J80" s="103" t="s">
        <v>54</v>
      </c>
    </row>
    <row r="81" spans="1:10" x14ac:dyDescent="0.25">
      <c r="A81" s="118" t="s">
        <v>282</v>
      </c>
      <c r="B81" s="120" t="s">
        <v>312</v>
      </c>
      <c r="E81" s="118" t="s">
        <v>282</v>
      </c>
      <c r="F81" s="120" t="s">
        <v>312</v>
      </c>
      <c r="I81" s="118" t="s">
        <v>282</v>
      </c>
      <c r="J81" s="120" t="s">
        <v>312</v>
      </c>
    </row>
    <row r="82" spans="1:10" x14ac:dyDescent="0.25">
      <c r="A82" s="118" t="s">
        <v>288</v>
      </c>
      <c r="B82" s="121" t="s">
        <v>445</v>
      </c>
      <c r="E82" s="118" t="s">
        <v>288</v>
      </c>
      <c r="F82" s="121" t="s">
        <v>459</v>
      </c>
      <c r="I82" s="118" t="s">
        <v>288</v>
      </c>
      <c r="J82" s="121" t="s">
        <v>437</v>
      </c>
    </row>
    <row r="83" spans="1:10" x14ac:dyDescent="0.25">
      <c r="A83" s="118" t="s">
        <v>800</v>
      </c>
      <c r="B83" s="105">
        <v>46207</v>
      </c>
      <c r="E83" s="118" t="s">
        <v>800</v>
      </c>
      <c r="F83" s="105">
        <v>46217</v>
      </c>
      <c r="I83" s="118" t="s">
        <v>800</v>
      </c>
      <c r="J83" s="105">
        <v>46198</v>
      </c>
    </row>
    <row r="84" spans="1:10" x14ac:dyDescent="0.25">
      <c r="A84" s="118" t="s">
        <v>294</v>
      </c>
      <c r="B84" s="105">
        <v>46191</v>
      </c>
      <c r="E84" s="118" t="s">
        <v>294</v>
      </c>
      <c r="F84" s="105">
        <v>46218</v>
      </c>
      <c r="I84" s="118" t="s">
        <v>294</v>
      </c>
      <c r="J84" s="105">
        <v>46213</v>
      </c>
    </row>
    <row r="85" spans="1:10" x14ac:dyDescent="0.25">
      <c r="A85" s="118" t="s">
        <v>295</v>
      </c>
      <c r="B85" s="122">
        <v>46196</v>
      </c>
      <c r="E85" s="118" t="s">
        <v>295</v>
      </c>
      <c r="F85" s="122">
        <v>46220</v>
      </c>
      <c r="I85" s="118" t="s">
        <v>295</v>
      </c>
      <c r="J85" s="122">
        <v>46215</v>
      </c>
    </row>
    <row r="86" spans="1:10" x14ac:dyDescent="0.25">
      <c r="A86" s="118" t="s">
        <v>296</v>
      </c>
      <c r="B86" s="105">
        <v>46218</v>
      </c>
      <c r="E86" s="118" t="s">
        <v>296</v>
      </c>
      <c r="F86" s="105">
        <v>46220</v>
      </c>
      <c r="I86" s="118" t="s">
        <v>296</v>
      </c>
      <c r="J86" s="105">
        <v>46246</v>
      </c>
    </row>
    <row r="87" spans="1:10" x14ac:dyDescent="0.25">
      <c r="A87" s="118" t="s">
        <v>297</v>
      </c>
      <c r="B87" s="105">
        <v>46209</v>
      </c>
      <c r="E87" s="118" t="s">
        <v>297</v>
      </c>
      <c r="F87" s="105">
        <v>46218</v>
      </c>
      <c r="I87" s="118" t="s">
        <v>297</v>
      </c>
      <c r="J87" s="105">
        <v>46217</v>
      </c>
    </row>
    <row r="88" spans="1:10" x14ac:dyDescent="0.25">
      <c r="A88" s="118" t="s">
        <v>298</v>
      </c>
      <c r="B88" s="105">
        <v>46221</v>
      </c>
      <c r="E88" s="118" t="s">
        <v>298</v>
      </c>
      <c r="F88" s="105">
        <v>46220</v>
      </c>
      <c r="I88" s="118" t="s">
        <v>298</v>
      </c>
      <c r="J88" s="105">
        <v>46247</v>
      </c>
    </row>
    <row r="89" spans="1:10" x14ac:dyDescent="0.25">
      <c r="A89" s="118" t="s">
        <v>299</v>
      </c>
      <c r="B89" s="105">
        <v>46239</v>
      </c>
      <c r="E89" s="118" t="s">
        <v>299</v>
      </c>
      <c r="F89" s="105">
        <v>46223</v>
      </c>
      <c r="I89" s="118" t="s">
        <v>299</v>
      </c>
      <c r="J89" s="105">
        <v>46247</v>
      </c>
    </row>
    <row r="90" spans="1:10" x14ac:dyDescent="0.25">
      <c r="A90" s="118" t="s">
        <v>300</v>
      </c>
      <c r="B90" s="105">
        <v>46218</v>
      </c>
      <c r="E90" s="118" t="s">
        <v>300</v>
      </c>
      <c r="F90" s="105">
        <v>46220</v>
      </c>
      <c r="I90" s="118" t="s">
        <v>300</v>
      </c>
      <c r="J90" s="105">
        <v>46218</v>
      </c>
    </row>
    <row r="91" spans="1:10" x14ac:dyDescent="0.25">
      <c r="A91" s="118" t="s">
        <v>301</v>
      </c>
      <c r="B91" s="105">
        <v>46230</v>
      </c>
      <c r="E91" s="118" t="s">
        <v>301</v>
      </c>
      <c r="F91" s="105">
        <v>46245</v>
      </c>
      <c r="I91" s="118" t="s">
        <v>301</v>
      </c>
      <c r="J91" s="105">
        <v>46245</v>
      </c>
    </row>
    <row r="92" spans="1:10" x14ac:dyDescent="0.25">
      <c r="A92" s="118" t="s">
        <v>801</v>
      </c>
      <c r="B92" s="121">
        <f>IF(OR(B91="",B90=""),"",B91-B90)</f>
        <v>12</v>
      </c>
      <c r="E92" s="118" t="s">
        <v>801</v>
      </c>
      <c r="F92" s="121">
        <f>IF(OR(F91="",F90=""),"",F91-F90)</f>
        <v>25</v>
      </c>
      <c r="I92" s="118" t="s">
        <v>801</v>
      </c>
      <c r="J92" s="121">
        <f>IF(OR(J91="",J90=""),"",J91-J90)</f>
        <v>27</v>
      </c>
    </row>
    <row r="93" spans="1:10" x14ac:dyDescent="0.25">
      <c r="A93" s="118" t="s">
        <v>303</v>
      </c>
      <c r="B93" s="103" t="s">
        <v>447</v>
      </c>
      <c r="E93" s="118" t="s">
        <v>303</v>
      </c>
      <c r="F93" s="103" t="s">
        <v>461</v>
      </c>
      <c r="I93" s="118" t="s">
        <v>303</v>
      </c>
      <c r="J93" s="103" t="s">
        <v>468</v>
      </c>
    </row>
    <row r="94" spans="1:10" x14ac:dyDescent="0.25">
      <c r="A94" s="118" t="s">
        <v>311</v>
      </c>
      <c r="B94" s="122">
        <v>46241</v>
      </c>
      <c r="E94" s="118" t="s">
        <v>311</v>
      </c>
      <c r="F94" s="122">
        <v>46246</v>
      </c>
      <c r="I94" s="118" t="s">
        <v>311</v>
      </c>
      <c r="J94" s="122">
        <v>46247</v>
      </c>
    </row>
    <row r="95" spans="1:10" x14ac:dyDescent="0.25">
      <c r="A95" s="123" t="s">
        <v>803</v>
      </c>
      <c r="B95" s="124">
        <f>IF(OR(B86="",B84=""),"",B86-B84)</f>
        <v>27</v>
      </c>
      <c r="E95" s="123" t="s">
        <v>803</v>
      </c>
      <c r="F95" s="124">
        <f>IF(OR(F86="",F84=""),"",F86-F84)</f>
        <v>2</v>
      </c>
      <c r="I95" s="123" t="s">
        <v>803</v>
      </c>
      <c r="J95" s="124">
        <f>IF(OR(J86="",J84=""),"",J86-J84)</f>
        <v>33</v>
      </c>
    </row>
    <row r="96" spans="1:10" x14ac:dyDescent="0.25">
      <c r="A96" s="118" t="s">
        <v>804</v>
      </c>
      <c r="B96" s="125">
        <f>IF(OR(B83="",B84=""),"",B83-B84)</f>
        <v>16</v>
      </c>
      <c r="E96" s="118" t="s">
        <v>804</v>
      </c>
      <c r="F96" s="125">
        <f>IF(OR(F83="",F84=""),"",F83-F84)</f>
        <v>-1</v>
      </c>
      <c r="I96" s="118" t="s">
        <v>804</v>
      </c>
      <c r="J96" s="125">
        <f>IF(OR(J83="",J84=""),"",J83-J84)</f>
        <v>-15</v>
      </c>
    </row>
    <row r="97" spans="1:10" x14ac:dyDescent="0.25">
      <c r="A97" s="123" t="s">
        <v>805</v>
      </c>
      <c r="B97" s="126"/>
      <c r="E97" s="123" t="s">
        <v>805</v>
      </c>
      <c r="F97" s="126"/>
      <c r="I97" s="123" t="s">
        <v>805</v>
      </c>
      <c r="J97" s="126">
        <v>540</v>
      </c>
    </row>
    <row r="98" spans="1:10" x14ac:dyDescent="0.25">
      <c r="A98" s="123" t="s">
        <v>806</v>
      </c>
      <c r="B98" s="127">
        <v>649.7437735849056</v>
      </c>
      <c r="E98" s="123" t="s">
        <v>806</v>
      </c>
      <c r="F98" s="127">
        <v>163.61207547169812</v>
      </c>
      <c r="I98" s="123" t="s">
        <v>806</v>
      </c>
      <c r="J98" s="127">
        <v>628.2222641509434</v>
      </c>
    </row>
    <row r="99" spans="1:10" x14ac:dyDescent="0.25">
      <c r="A99" s="123" t="s">
        <v>307</v>
      </c>
      <c r="B99" s="128" t="s">
        <v>448</v>
      </c>
      <c r="E99" s="123" t="s">
        <v>307</v>
      </c>
      <c r="F99" s="128" t="s">
        <v>462</v>
      </c>
      <c r="I99" s="123" t="s">
        <v>307</v>
      </c>
      <c r="J99" s="128" t="s">
        <v>56</v>
      </c>
    </row>
    <row r="100" spans="1:10" x14ac:dyDescent="0.25">
      <c r="A100" s="123" t="s">
        <v>807</v>
      </c>
      <c r="B100" s="129">
        <v>0</v>
      </c>
      <c r="E100" s="123" t="s">
        <v>807</v>
      </c>
      <c r="F100" s="129">
        <v>0</v>
      </c>
      <c r="I100" s="123" t="s">
        <v>807</v>
      </c>
      <c r="J100" s="129">
        <v>0</v>
      </c>
    </row>
    <row r="101" spans="1:10" x14ac:dyDescent="0.25">
      <c r="A101" s="123" t="s">
        <v>808</v>
      </c>
      <c r="B101" s="128">
        <v>0</v>
      </c>
      <c r="E101" s="123" t="s">
        <v>808</v>
      </c>
      <c r="F101" s="128">
        <v>0</v>
      </c>
      <c r="I101" s="123" t="s">
        <v>808</v>
      </c>
      <c r="J101" s="128">
        <v>0</v>
      </c>
    </row>
    <row r="102" spans="1:10" x14ac:dyDescent="0.25">
      <c r="A102" s="123" t="s">
        <v>809</v>
      </c>
      <c r="B102" s="128">
        <f>SUM(B97:B98)</f>
        <v>649.7438</v>
      </c>
      <c r="E102" s="123" t="s">
        <v>809</v>
      </c>
      <c r="F102" s="128">
        <f>SUM(F97:F98)</f>
        <v>163.6121</v>
      </c>
      <c r="I102" s="123" t="s">
        <v>809</v>
      </c>
      <c r="J102" s="128">
        <f>SUM(J97:J98)</f>
        <v>1168.2223</v>
      </c>
    </row>
    <row r="104" spans="1:10" x14ac:dyDescent="0.25">
      <c r="A104" s="118"/>
      <c r="B104" s="119"/>
      <c r="E104" s="118"/>
      <c r="F104" s="119"/>
      <c r="I104" s="118"/>
      <c r="J104" s="119"/>
    </row>
    <row r="105" spans="1:10" x14ac:dyDescent="0.25">
      <c r="A105" s="118" t="s">
        <v>795</v>
      </c>
      <c r="B105" s="119" t="s">
        <v>819</v>
      </c>
      <c r="E105" s="118" t="s">
        <v>795</v>
      </c>
      <c r="F105" s="119" t="s">
        <v>820</v>
      </c>
      <c r="I105" s="118" t="s">
        <v>795</v>
      </c>
      <c r="J105" s="119" t="s">
        <v>821</v>
      </c>
    </row>
    <row r="106" spans="1:10" x14ac:dyDescent="0.25">
      <c r="A106" s="118" t="s">
        <v>799</v>
      </c>
      <c r="B106" s="103" t="s">
        <v>58</v>
      </c>
      <c r="E106" s="118" t="s">
        <v>799</v>
      </c>
      <c r="F106" s="103" t="s">
        <v>61</v>
      </c>
      <c r="I106" s="118" t="s">
        <v>799</v>
      </c>
      <c r="J106" s="103" t="s">
        <v>64</v>
      </c>
    </row>
    <row r="107" spans="1:10" x14ac:dyDescent="0.25">
      <c r="A107" s="118" t="s">
        <v>282</v>
      </c>
      <c r="B107" s="120" t="s">
        <v>312</v>
      </c>
      <c r="E107" s="118" t="s">
        <v>282</v>
      </c>
      <c r="F107" s="120" t="s">
        <v>312</v>
      </c>
      <c r="I107" s="118" t="s">
        <v>282</v>
      </c>
      <c r="J107" s="120" t="s">
        <v>312</v>
      </c>
    </row>
    <row r="108" spans="1:10" x14ac:dyDescent="0.25">
      <c r="A108" s="118" t="s">
        <v>288</v>
      </c>
      <c r="B108" s="121" t="s">
        <v>437</v>
      </c>
      <c r="E108" s="118" t="s">
        <v>288</v>
      </c>
      <c r="F108" s="121" t="s">
        <v>480</v>
      </c>
      <c r="I108" s="118" t="s">
        <v>288</v>
      </c>
      <c r="J108" s="121" t="s">
        <v>486</v>
      </c>
    </row>
    <row r="109" spans="1:10" x14ac:dyDescent="0.25">
      <c r="A109" s="118" t="s">
        <v>800</v>
      </c>
      <c r="B109" s="105">
        <v>46199</v>
      </c>
      <c r="E109" s="118" t="s">
        <v>800</v>
      </c>
      <c r="F109" s="105">
        <v>46208</v>
      </c>
      <c r="I109" s="118" t="s">
        <v>800</v>
      </c>
      <c r="J109" s="105">
        <v>46209</v>
      </c>
    </row>
    <row r="110" spans="1:10" x14ac:dyDescent="0.25">
      <c r="A110" s="118" t="s">
        <v>294</v>
      </c>
      <c r="B110" s="105">
        <v>46218</v>
      </c>
      <c r="E110" s="118" t="s">
        <v>294</v>
      </c>
      <c r="F110" s="105">
        <v>46219</v>
      </c>
      <c r="I110" s="118" t="s">
        <v>294</v>
      </c>
      <c r="J110" s="105">
        <v>46217</v>
      </c>
    </row>
    <row r="111" spans="1:10" x14ac:dyDescent="0.25">
      <c r="A111" s="118" t="s">
        <v>295</v>
      </c>
      <c r="B111" s="122">
        <v>46220</v>
      </c>
      <c r="E111" s="118" t="s">
        <v>295</v>
      </c>
      <c r="F111" s="122">
        <v>46219</v>
      </c>
      <c r="I111" s="118" t="s">
        <v>295</v>
      </c>
      <c r="J111" s="122">
        <v>46218</v>
      </c>
    </row>
    <row r="112" spans="1:10" x14ac:dyDescent="0.25">
      <c r="A112" s="118" t="s">
        <v>296</v>
      </c>
      <c r="B112" s="105">
        <v>46234</v>
      </c>
      <c r="E112" s="118" t="s">
        <v>296</v>
      </c>
      <c r="F112" s="105">
        <v>46227</v>
      </c>
      <c r="I112" s="118" t="s">
        <v>296</v>
      </c>
      <c r="J112" s="105">
        <v>46238</v>
      </c>
    </row>
    <row r="113" spans="1:10" x14ac:dyDescent="0.25">
      <c r="A113" s="118" t="s">
        <v>297</v>
      </c>
      <c r="B113" s="105">
        <v>46221</v>
      </c>
      <c r="E113" s="118" t="s">
        <v>297</v>
      </c>
      <c r="F113" s="105">
        <v>46221</v>
      </c>
      <c r="I113" s="118" t="s">
        <v>297</v>
      </c>
      <c r="J113" s="105">
        <v>46220</v>
      </c>
    </row>
    <row r="114" spans="1:10" x14ac:dyDescent="0.25">
      <c r="A114" s="118" t="s">
        <v>298</v>
      </c>
      <c r="B114" s="105">
        <v>46238</v>
      </c>
      <c r="E114" s="118" t="s">
        <v>298</v>
      </c>
      <c r="F114" s="105">
        <v>46228</v>
      </c>
      <c r="I114" s="118" t="s">
        <v>298</v>
      </c>
      <c r="J114" s="105">
        <v>46240</v>
      </c>
    </row>
    <row r="115" spans="1:10" x14ac:dyDescent="0.25">
      <c r="A115" s="118" t="s">
        <v>299</v>
      </c>
      <c r="B115" s="105">
        <v>46247</v>
      </c>
      <c r="E115" s="118" t="s">
        <v>299</v>
      </c>
      <c r="F115" s="105">
        <v>46230</v>
      </c>
      <c r="I115" s="118" t="s">
        <v>299</v>
      </c>
      <c r="J115" s="105">
        <v>46240</v>
      </c>
    </row>
    <row r="116" spans="1:10" x14ac:dyDescent="0.25">
      <c r="A116" s="118" t="s">
        <v>300</v>
      </c>
      <c r="B116" s="105">
        <v>46234</v>
      </c>
      <c r="E116" s="118" t="s">
        <v>300</v>
      </c>
      <c r="F116" s="105">
        <v>46227</v>
      </c>
      <c r="I116" s="118" t="s">
        <v>300</v>
      </c>
      <c r="J116" s="105">
        <v>46238</v>
      </c>
    </row>
    <row r="117" spans="1:10" x14ac:dyDescent="0.25">
      <c r="A117" s="118" t="s">
        <v>301</v>
      </c>
      <c r="B117" s="105">
        <v>46245</v>
      </c>
      <c r="E117" s="118" t="s">
        <v>301</v>
      </c>
      <c r="F117" s="105">
        <v>46245</v>
      </c>
      <c r="I117" s="118" t="s">
        <v>301</v>
      </c>
      <c r="J117" s="105">
        <v>46240</v>
      </c>
    </row>
    <row r="118" spans="1:10" x14ac:dyDescent="0.25">
      <c r="A118" s="118" t="s">
        <v>801</v>
      </c>
      <c r="B118" s="121">
        <f>IF(OR(B117="",B116=""),"",B117-B116)</f>
        <v>11</v>
      </c>
      <c r="E118" s="118" t="s">
        <v>801</v>
      </c>
      <c r="F118" s="121">
        <f>IF(OR(F117="",F116=""),"",F117-F116)</f>
        <v>18</v>
      </c>
      <c r="I118" s="118" t="s">
        <v>801</v>
      </c>
      <c r="J118" s="121">
        <f>IF(OR(J117="",J116=""),"",J117-J116)</f>
        <v>2</v>
      </c>
    </row>
    <row r="119" spans="1:10" x14ac:dyDescent="0.25">
      <c r="A119" s="118" t="s">
        <v>303</v>
      </c>
      <c r="B119" s="103" t="s">
        <v>475</v>
      </c>
      <c r="E119" s="118" t="s">
        <v>303</v>
      </c>
      <c r="F119" s="103" t="s">
        <v>481</v>
      </c>
      <c r="I119" s="118" t="s">
        <v>303</v>
      </c>
      <c r="J119" s="103" t="s">
        <v>488</v>
      </c>
    </row>
    <row r="120" spans="1:10" x14ac:dyDescent="0.25">
      <c r="A120" s="118" t="s">
        <v>311</v>
      </c>
      <c r="B120" s="122">
        <v>46247</v>
      </c>
      <c r="E120" s="118" t="s">
        <v>311</v>
      </c>
      <c r="F120" s="122">
        <v>46246</v>
      </c>
      <c r="I120" s="118" t="s">
        <v>311</v>
      </c>
      <c r="J120" s="122">
        <v>46244</v>
      </c>
    </row>
    <row r="121" spans="1:10" x14ac:dyDescent="0.25">
      <c r="A121" s="123" t="s">
        <v>803</v>
      </c>
      <c r="B121" s="124">
        <f>IF(OR(B112="",B110=""),"",B112-B110)</f>
        <v>16</v>
      </c>
      <c r="E121" s="123" t="s">
        <v>803</v>
      </c>
      <c r="F121" s="124">
        <f>IF(OR(F112="",F110=""),"",F112-F110)</f>
        <v>8</v>
      </c>
      <c r="I121" s="123" t="s">
        <v>803</v>
      </c>
      <c r="J121" s="124">
        <f>IF(OR(J112="",J110=""),"",J112-J110)</f>
        <v>21</v>
      </c>
    </row>
    <row r="122" spans="1:10" x14ac:dyDescent="0.25">
      <c r="A122" s="118" t="s">
        <v>804</v>
      </c>
      <c r="B122" s="125">
        <f>IF(OR(B109="",B110=""),"",B109-B110)</f>
        <v>-19</v>
      </c>
      <c r="E122" s="118" t="s">
        <v>804</v>
      </c>
      <c r="F122" s="125">
        <f>IF(OR(F109="",F110=""),"",F109-F110)</f>
        <v>-11</v>
      </c>
      <c r="I122" s="118" t="s">
        <v>804</v>
      </c>
      <c r="J122" s="125">
        <f>IF(OR(J109="",J110=""),"",J109-J110)</f>
        <v>-8</v>
      </c>
    </row>
    <row r="123" spans="1:10" x14ac:dyDescent="0.25">
      <c r="A123" s="123" t="s">
        <v>805</v>
      </c>
      <c r="B123" s="126"/>
      <c r="E123" s="123" t="s">
        <v>805</v>
      </c>
      <c r="F123" s="126"/>
      <c r="I123" s="123" t="s">
        <v>805</v>
      </c>
      <c r="J123" s="126"/>
    </row>
    <row r="124" spans="1:10" x14ac:dyDescent="0.25">
      <c r="A124" s="123" t="s">
        <v>806</v>
      </c>
      <c r="B124" s="127">
        <v>194.98716981132077</v>
      </c>
      <c r="E124" s="123" t="s">
        <v>806</v>
      </c>
      <c r="F124" s="127">
        <v>151.58188679245282</v>
      </c>
      <c r="I124" s="123" t="s">
        <v>806</v>
      </c>
      <c r="J124" s="127">
        <v>151.78</v>
      </c>
    </row>
    <row r="125" spans="1:10" x14ac:dyDescent="0.25">
      <c r="A125" s="123" t="s">
        <v>307</v>
      </c>
      <c r="B125" s="128" t="s">
        <v>477</v>
      </c>
      <c r="E125" s="123" t="s">
        <v>307</v>
      </c>
      <c r="F125" s="128" t="s">
        <v>482</v>
      </c>
      <c r="I125" s="123" t="s">
        <v>307</v>
      </c>
      <c r="J125" s="128" t="s">
        <v>490</v>
      </c>
    </row>
    <row r="126" spans="1:10" x14ac:dyDescent="0.25">
      <c r="A126" s="123" t="s">
        <v>807</v>
      </c>
      <c r="B126" s="129">
        <v>0</v>
      </c>
      <c r="E126" s="123" t="s">
        <v>807</v>
      </c>
      <c r="F126" s="129">
        <v>0</v>
      </c>
      <c r="I126" s="123" t="s">
        <v>807</v>
      </c>
      <c r="J126" s="129">
        <v>0</v>
      </c>
    </row>
    <row r="127" spans="1:10" x14ac:dyDescent="0.25">
      <c r="A127" s="123" t="s">
        <v>808</v>
      </c>
      <c r="B127" s="128">
        <v>0</v>
      </c>
      <c r="E127" s="123" t="s">
        <v>808</v>
      </c>
      <c r="F127" s="128">
        <v>0</v>
      </c>
      <c r="I127" s="123" t="s">
        <v>808</v>
      </c>
      <c r="J127" s="128">
        <v>0</v>
      </c>
    </row>
    <row r="128" spans="1:10" x14ac:dyDescent="0.25">
      <c r="A128" s="123" t="s">
        <v>809</v>
      </c>
      <c r="B128" s="128">
        <f>SUM(B123:B124)</f>
        <v>194.9872</v>
      </c>
      <c r="E128" s="123" t="s">
        <v>809</v>
      </c>
      <c r="F128" s="128">
        <f>SUM(F123:F124)</f>
        <v>151.5819</v>
      </c>
      <c r="I128" s="123" t="s">
        <v>809</v>
      </c>
      <c r="J128" s="128">
        <f>SUM(J123:J124)</f>
        <v>151.78</v>
      </c>
    </row>
    <row r="130" spans="1:10" x14ac:dyDescent="0.25">
      <c r="A130" s="118"/>
      <c r="B130" s="119"/>
      <c r="E130" s="118"/>
      <c r="F130" s="119"/>
      <c r="I130" s="118"/>
      <c r="J130" s="119"/>
    </row>
    <row r="131" spans="1:10" x14ac:dyDescent="0.25">
      <c r="A131" s="118" t="s">
        <v>795</v>
      </c>
      <c r="B131" s="119" t="s">
        <v>822</v>
      </c>
      <c r="E131" s="118" t="s">
        <v>795</v>
      </c>
      <c r="F131" s="119" t="s">
        <v>823</v>
      </c>
      <c r="I131" s="118" t="s">
        <v>795</v>
      </c>
      <c r="J131" s="119" t="s">
        <v>824</v>
      </c>
    </row>
    <row r="132" spans="1:10" x14ac:dyDescent="0.25">
      <c r="A132" s="118" t="s">
        <v>799</v>
      </c>
      <c r="B132" s="103" t="s">
        <v>67</v>
      </c>
      <c r="E132" s="118" t="s">
        <v>799</v>
      </c>
      <c r="F132" s="103" t="s">
        <v>71</v>
      </c>
      <c r="I132" s="118" t="s">
        <v>799</v>
      </c>
      <c r="J132" s="103" t="s">
        <v>75</v>
      </c>
    </row>
    <row r="133" spans="1:10" x14ac:dyDescent="0.25">
      <c r="A133" s="118" t="s">
        <v>282</v>
      </c>
      <c r="B133" s="120" t="s">
        <v>312</v>
      </c>
      <c r="E133" s="118" t="s">
        <v>282</v>
      </c>
      <c r="F133" s="120" t="s">
        <v>312</v>
      </c>
      <c r="I133" s="118" t="s">
        <v>282</v>
      </c>
      <c r="J133" s="120" t="s">
        <v>312</v>
      </c>
    </row>
    <row r="134" spans="1:10" x14ac:dyDescent="0.25">
      <c r="A134" s="118" t="s">
        <v>288</v>
      </c>
      <c r="B134" s="121" t="s">
        <v>503</v>
      </c>
      <c r="E134" s="118" t="s">
        <v>288</v>
      </c>
      <c r="F134" s="121" t="s">
        <v>361</v>
      </c>
      <c r="I134" s="118" t="s">
        <v>288</v>
      </c>
      <c r="J134" s="121" t="s">
        <v>361</v>
      </c>
    </row>
    <row r="135" spans="1:10" x14ac:dyDescent="0.25">
      <c r="A135" s="118" t="s">
        <v>800</v>
      </c>
      <c r="B135" s="105">
        <v>46220</v>
      </c>
      <c r="E135" s="118" t="s">
        <v>800</v>
      </c>
      <c r="F135" s="105">
        <v>46223</v>
      </c>
      <c r="I135" s="118" t="s">
        <v>800</v>
      </c>
      <c r="J135" s="105">
        <v>46212</v>
      </c>
    </row>
    <row r="136" spans="1:10" x14ac:dyDescent="0.25">
      <c r="A136" s="118" t="s">
        <v>294</v>
      </c>
      <c r="B136" s="105">
        <v>46228</v>
      </c>
      <c r="E136" s="118" t="s">
        <v>294</v>
      </c>
      <c r="F136" s="105">
        <v>46225</v>
      </c>
      <c r="I136" s="118" t="s">
        <v>294</v>
      </c>
      <c r="J136" s="105">
        <v>46227</v>
      </c>
    </row>
    <row r="137" spans="1:10" x14ac:dyDescent="0.25">
      <c r="A137" s="118" t="s">
        <v>295</v>
      </c>
      <c r="B137" s="122">
        <v>46230</v>
      </c>
      <c r="E137" s="118" t="s">
        <v>295</v>
      </c>
      <c r="F137" s="122">
        <v>46226</v>
      </c>
      <c r="I137" s="118" t="s">
        <v>295</v>
      </c>
      <c r="J137" s="122">
        <v>46231</v>
      </c>
    </row>
    <row r="138" spans="1:10" x14ac:dyDescent="0.25">
      <c r="A138" s="118" t="s">
        <v>296</v>
      </c>
      <c r="B138" s="105">
        <v>46247</v>
      </c>
      <c r="E138" s="118" t="s">
        <v>296</v>
      </c>
      <c r="F138" s="105">
        <v>46227</v>
      </c>
      <c r="I138" s="118" t="s">
        <v>296</v>
      </c>
      <c r="J138" s="105">
        <v>46241</v>
      </c>
    </row>
    <row r="139" spans="1:10" x14ac:dyDescent="0.25">
      <c r="A139" s="118" t="s">
        <v>297</v>
      </c>
      <c r="B139" s="105">
        <v>46231</v>
      </c>
      <c r="E139" s="118" t="s">
        <v>297</v>
      </c>
      <c r="F139" s="105">
        <v>46224</v>
      </c>
      <c r="I139" s="118" t="s">
        <v>297</v>
      </c>
      <c r="J139" s="105">
        <v>46237</v>
      </c>
    </row>
    <row r="140" spans="1:10" x14ac:dyDescent="0.25">
      <c r="A140" s="118" t="s">
        <v>298</v>
      </c>
      <c r="B140" s="105">
        <v>46249</v>
      </c>
      <c r="E140" s="118" t="s">
        <v>298</v>
      </c>
      <c r="F140" s="105">
        <v>46230</v>
      </c>
      <c r="I140" s="118" t="s">
        <v>298</v>
      </c>
      <c r="J140" s="105">
        <v>46246</v>
      </c>
    </row>
    <row r="141" spans="1:10" x14ac:dyDescent="0.25">
      <c r="A141" s="118" t="s">
        <v>299</v>
      </c>
      <c r="B141" s="105">
        <v>46249</v>
      </c>
      <c r="E141" s="118" t="s">
        <v>299</v>
      </c>
      <c r="F141" s="105">
        <v>46230</v>
      </c>
      <c r="I141" s="118" t="s">
        <v>299</v>
      </c>
      <c r="J141" s="105">
        <v>46248</v>
      </c>
    </row>
    <row r="142" spans="1:10" x14ac:dyDescent="0.25">
      <c r="A142" s="118" t="s">
        <v>300</v>
      </c>
      <c r="B142" s="105">
        <v>46239</v>
      </c>
      <c r="E142" s="118" t="s">
        <v>300</v>
      </c>
      <c r="F142" s="105">
        <v>46227</v>
      </c>
      <c r="I142" s="118" t="s">
        <v>300</v>
      </c>
      <c r="J142" s="105">
        <v>46241</v>
      </c>
    </row>
    <row r="143" spans="1:10" x14ac:dyDescent="0.25">
      <c r="A143" s="118" t="s">
        <v>301</v>
      </c>
      <c r="B143" s="105">
        <v>46248</v>
      </c>
      <c r="E143" s="118" t="s">
        <v>301</v>
      </c>
      <c r="F143" s="105">
        <v>46248</v>
      </c>
      <c r="I143" s="118" t="s">
        <v>301</v>
      </c>
      <c r="J143" s="105">
        <v>46258</v>
      </c>
    </row>
    <row r="144" spans="1:10" x14ac:dyDescent="0.25">
      <c r="A144" s="118" t="s">
        <v>801</v>
      </c>
      <c r="B144" s="121">
        <f>IF(OR(B143="",B142=""),"",B143-B142)</f>
        <v>9</v>
      </c>
      <c r="E144" s="118" t="s">
        <v>801</v>
      </c>
      <c r="F144" s="121">
        <f>IF(OR(F143="",F142=""),"",F143-F142)</f>
        <v>21</v>
      </c>
      <c r="I144" s="118" t="s">
        <v>801</v>
      </c>
      <c r="J144" s="121">
        <f>IF(OR(J143="",J142=""),"",J143-J142)</f>
        <v>17</v>
      </c>
    </row>
    <row r="145" spans="1:10" x14ac:dyDescent="0.25">
      <c r="A145" s="118" t="s">
        <v>303</v>
      </c>
      <c r="B145" s="103" t="s">
        <v>506</v>
      </c>
      <c r="E145" s="118" t="s">
        <v>303</v>
      </c>
      <c r="F145" s="103" t="s">
        <v>513</v>
      </c>
      <c r="I145" s="118" t="s">
        <v>303</v>
      </c>
      <c r="J145" s="103" t="s">
        <v>526</v>
      </c>
    </row>
    <row r="146" spans="1:10" x14ac:dyDescent="0.25">
      <c r="A146" s="118" t="s">
        <v>311</v>
      </c>
      <c r="B146" s="122">
        <v>46251</v>
      </c>
      <c r="E146" s="118" t="s">
        <v>311</v>
      </c>
      <c r="F146" s="122">
        <v>46252</v>
      </c>
      <c r="I146" s="118" t="s">
        <v>311</v>
      </c>
      <c r="J146" s="122">
        <v>46261</v>
      </c>
    </row>
    <row r="147" spans="1:10" x14ac:dyDescent="0.25">
      <c r="A147" s="123" t="s">
        <v>803</v>
      </c>
      <c r="B147" s="124">
        <f>IF(OR(B138="",B136=""),"",B138-B136)</f>
        <v>19</v>
      </c>
      <c r="E147" s="123" t="s">
        <v>803</v>
      </c>
      <c r="F147" s="124">
        <f>IF(OR(F138="",F136=""),"",F138-F136)</f>
        <v>2</v>
      </c>
      <c r="I147" s="123" t="s">
        <v>803</v>
      </c>
      <c r="J147" s="124">
        <f>IF(OR(J138="",J136=""),"",J138-J136)</f>
        <v>14</v>
      </c>
    </row>
    <row r="148" spans="1:10" x14ac:dyDescent="0.25">
      <c r="A148" s="118" t="s">
        <v>804</v>
      </c>
      <c r="B148" s="125">
        <f>IF(OR(B135="",B136=""),"",B135-B136)</f>
        <v>-8</v>
      </c>
      <c r="E148" s="118" t="s">
        <v>804</v>
      </c>
      <c r="F148" s="125">
        <f>IF(OR(F135="",F136=""),"",F135-F136)</f>
        <v>-2</v>
      </c>
      <c r="I148" s="118" t="s">
        <v>804</v>
      </c>
      <c r="J148" s="125">
        <f>IF(OR(J135="",J136=""),"",J135-J136)</f>
        <v>-15</v>
      </c>
    </row>
    <row r="149" spans="1:10" x14ac:dyDescent="0.25">
      <c r="A149" s="123" t="s">
        <v>805</v>
      </c>
      <c r="B149" s="126">
        <v>1500</v>
      </c>
      <c r="E149" s="123" t="s">
        <v>805</v>
      </c>
      <c r="F149" s="126"/>
      <c r="I149" s="123" t="s">
        <v>805</v>
      </c>
      <c r="J149" s="126"/>
    </row>
    <row r="150" spans="1:10" x14ac:dyDescent="0.25">
      <c r="A150" s="123" t="s">
        <v>806</v>
      </c>
      <c r="B150" s="127">
        <v>91.51735849056604</v>
      </c>
      <c r="E150" s="123" t="s">
        <v>806</v>
      </c>
      <c r="F150" s="127">
        <v>143.19471698113207</v>
      </c>
      <c r="I150" s="123" t="s">
        <v>806</v>
      </c>
      <c r="J150" s="127">
        <v>303.2411320754717</v>
      </c>
    </row>
    <row r="151" spans="1:10" x14ac:dyDescent="0.25">
      <c r="A151" s="123" t="s">
        <v>307</v>
      </c>
      <c r="B151" s="128" t="s">
        <v>69</v>
      </c>
      <c r="E151" s="123" t="s">
        <v>307</v>
      </c>
      <c r="F151" s="128" t="s">
        <v>73</v>
      </c>
      <c r="I151" s="123" t="s">
        <v>307</v>
      </c>
      <c r="J151" s="128" t="s">
        <v>77</v>
      </c>
    </row>
    <row r="152" spans="1:10" x14ac:dyDescent="0.25">
      <c r="A152" s="123" t="s">
        <v>807</v>
      </c>
      <c r="B152" s="129">
        <v>0</v>
      </c>
      <c r="E152" s="123" t="s">
        <v>807</v>
      </c>
      <c r="F152" s="129">
        <v>0</v>
      </c>
      <c r="I152" s="123" t="s">
        <v>807</v>
      </c>
      <c r="J152" s="129">
        <v>0</v>
      </c>
    </row>
    <row r="153" spans="1:10" x14ac:dyDescent="0.25">
      <c r="A153" s="123" t="s">
        <v>808</v>
      </c>
      <c r="B153" s="128">
        <v>0</v>
      </c>
      <c r="E153" s="123" t="s">
        <v>808</v>
      </c>
      <c r="F153" s="128">
        <v>0</v>
      </c>
      <c r="I153" s="123" t="s">
        <v>808</v>
      </c>
      <c r="J153" s="128">
        <v>0</v>
      </c>
    </row>
    <row r="154" spans="1:10" x14ac:dyDescent="0.25">
      <c r="A154" s="123" t="s">
        <v>809</v>
      </c>
      <c r="B154" s="128">
        <f>SUM(B149:B150)</f>
        <v>1591.5174</v>
      </c>
      <c r="E154" s="123" t="s">
        <v>809</v>
      </c>
      <c r="F154" s="128">
        <f>SUM(F149:F150)</f>
        <v>143.1947</v>
      </c>
      <c r="I154" s="123" t="s">
        <v>809</v>
      </c>
      <c r="J154" s="128">
        <f>SUM(J149:J150)</f>
        <v>303.2411</v>
      </c>
    </row>
    <row r="156" spans="1:10" x14ac:dyDescent="0.25">
      <c r="A156" s="118"/>
      <c r="B156" s="119"/>
      <c r="E156" s="118"/>
      <c r="F156" s="119"/>
      <c r="I156" s="118"/>
      <c r="J156" s="119"/>
    </row>
    <row r="157" spans="1:10" x14ac:dyDescent="0.25">
      <c r="A157" s="118" t="s">
        <v>795</v>
      </c>
      <c r="B157" s="119" t="s">
        <v>825</v>
      </c>
      <c r="E157" s="118" t="s">
        <v>795</v>
      </c>
      <c r="F157" s="119" t="s">
        <v>826</v>
      </c>
      <c r="I157" s="118" t="s">
        <v>795</v>
      </c>
      <c r="J157" s="119" t="s">
        <v>827</v>
      </c>
    </row>
    <row r="158" spans="1:10" x14ac:dyDescent="0.25">
      <c r="A158" s="118" t="s">
        <v>799</v>
      </c>
      <c r="B158" s="103" t="s">
        <v>79</v>
      </c>
      <c r="E158" s="118" t="s">
        <v>799</v>
      </c>
      <c r="F158" s="103" t="s">
        <v>83</v>
      </c>
      <c r="I158" s="118" t="s">
        <v>799</v>
      </c>
      <c r="J158" s="103" t="s">
        <v>87</v>
      </c>
    </row>
    <row r="159" spans="1:10" x14ac:dyDescent="0.25">
      <c r="A159" s="118" t="s">
        <v>282</v>
      </c>
      <c r="B159" s="120" t="s">
        <v>312</v>
      </c>
      <c r="E159" s="118" t="s">
        <v>282</v>
      </c>
      <c r="F159" s="120" t="s">
        <v>312</v>
      </c>
      <c r="I159" s="118" t="s">
        <v>282</v>
      </c>
      <c r="J159" s="120" t="s">
        <v>312</v>
      </c>
    </row>
    <row r="160" spans="1:10" x14ac:dyDescent="0.25">
      <c r="A160" s="118" t="s">
        <v>288</v>
      </c>
      <c r="B160" s="121" t="s">
        <v>350</v>
      </c>
      <c r="E160" s="118" t="s">
        <v>288</v>
      </c>
      <c r="F160" s="121" t="s">
        <v>503</v>
      </c>
      <c r="I160" s="118" t="s">
        <v>288</v>
      </c>
      <c r="J160" s="121" t="s">
        <v>555</v>
      </c>
    </row>
    <row r="161" spans="1:10" x14ac:dyDescent="0.25">
      <c r="A161" s="118" t="s">
        <v>800</v>
      </c>
      <c r="B161" s="105">
        <v>46203</v>
      </c>
      <c r="E161" s="118" t="s">
        <v>800</v>
      </c>
      <c r="F161" s="105">
        <v>46173</v>
      </c>
      <c r="I161" s="118" t="s">
        <v>800</v>
      </c>
      <c r="J161" s="105">
        <v>46239</v>
      </c>
    </row>
    <row r="162" spans="1:10" x14ac:dyDescent="0.25">
      <c r="A162" s="118" t="s">
        <v>294</v>
      </c>
      <c r="B162" s="105">
        <v>46229</v>
      </c>
      <c r="E162" s="118" t="s">
        <v>294</v>
      </c>
      <c r="F162" s="105">
        <v>46226</v>
      </c>
      <c r="I162" s="118" t="s">
        <v>294</v>
      </c>
      <c r="J162" s="105">
        <v>46239</v>
      </c>
    </row>
    <row r="163" spans="1:10" x14ac:dyDescent="0.25">
      <c r="A163" s="118" t="s">
        <v>295</v>
      </c>
      <c r="B163" s="122">
        <v>46229</v>
      </c>
      <c r="E163" s="118" t="s">
        <v>295</v>
      </c>
      <c r="F163" s="122">
        <v>46229</v>
      </c>
      <c r="I163" s="118" t="s">
        <v>295</v>
      </c>
      <c r="J163" s="122">
        <v>46239</v>
      </c>
    </row>
    <row r="164" spans="1:10" x14ac:dyDescent="0.25">
      <c r="A164" s="118" t="s">
        <v>296</v>
      </c>
      <c r="B164" s="105">
        <v>46240</v>
      </c>
      <c r="E164" s="118" t="s">
        <v>296</v>
      </c>
      <c r="F164" s="105">
        <v>46233</v>
      </c>
      <c r="I164" s="118" t="s">
        <v>296</v>
      </c>
      <c r="J164" s="105">
        <v>46252</v>
      </c>
    </row>
    <row r="165" spans="1:10" x14ac:dyDescent="0.25">
      <c r="A165" s="118" t="s">
        <v>297</v>
      </c>
      <c r="B165" s="105">
        <v>46233</v>
      </c>
      <c r="E165" s="118" t="s">
        <v>297</v>
      </c>
      <c r="F165" s="105">
        <v>46228</v>
      </c>
      <c r="I165" s="118" t="s">
        <v>297</v>
      </c>
      <c r="J165" s="105">
        <v>46245</v>
      </c>
    </row>
    <row r="166" spans="1:10" x14ac:dyDescent="0.25">
      <c r="A166" s="118" t="s">
        <v>298</v>
      </c>
      <c r="B166" s="105">
        <v>46241</v>
      </c>
      <c r="E166" s="118" t="s">
        <v>298</v>
      </c>
      <c r="F166" s="105">
        <v>46235</v>
      </c>
      <c r="I166" s="118" t="s">
        <v>298</v>
      </c>
      <c r="J166" s="105">
        <v>46254</v>
      </c>
    </row>
    <row r="167" spans="1:10" x14ac:dyDescent="0.25">
      <c r="A167" s="118" t="s">
        <v>299</v>
      </c>
      <c r="B167" s="105">
        <v>46241</v>
      </c>
      <c r="E167" s="118" t="s">
        <v>299</v>
      </c>
      <c r="F167" s="105">
        <v>46237</v>
      </c>
      <c r="I167" s="118" t="s">
        <v>299</v>
      </c>
      <c r="J167" s="105">
        <v>46254</v>
      </c>
    </row>
    <row r="168" spans="1:10" x14ac:dyDescent="0.25">
      <c r="A168" s="118" t="s">
        <v>300</v>
      </c>
      <c r="B168" s="105">
        <v>46240</v>
      </c>
      <c r="E168" s="118" t="s">
        <v>300</v>
      </c>
      <c r="F168" s="105">
        <v>46233</v>
      </c>
      <c r="I168" s="118" t="s">
        <v>300</v>
      </c>
      <c r="J168" s="105">
        <v>46252</v>
      </c>
    </row>
    <row r="169" spans="1:10" x14ac:dyDescent="0.25">
      <c r="A169" s="118" t="s">
        <v>301</v>
      </c>
      <c r="B169" s="105">
        <v>46258</v>
      </c>
      <c r="E169" s="118" t="s">
        <v>301</v>
      </c>
      <c r="F169" s="105">
        <v>46258</v>
      </c>
      <c r="I169" s="118" t="s">
        <v>301</v>
      </c>
      <c r="J169" s="105">
        <v>46258</v>
      </c>
    </row>
    <row r="170" spans="1:10" x14ac:dyDescent="0.25">
      <c r="A170" s="118" t="s">
        <v>801</v>
      </c>
      <c r="B170" s="121">
        <f>IF(OR(B169="",B168=""),"",B169-B168)</f>
        <v>18</v>
      </c>
      <c r="E170" s="118" t="s">
        <v>801</v>
      </c>
      <c r="F170" s="121">
        <f>IF(OR(F169="",F168=""),"",F169-F168)</f>
        <v>25</v>
      </c>
      <c r="I170" s="118" t="s">
        <v>801</v>
      </c>
      <c r="J170" s="121">
        <f>IF(OR(J169="",J168=""),"",J169-J168)</f>
        <v>6</v>
      </c>
    </row>
    <row r="171" spans="1:10" x14ac:dyDescent="0.25">
      <c r="A171" s="118" t="s">
        <v>303</v>
      </c>
      <c r="B171" s="103" t="s">
        <v>538</v>
      </c>
      <c r="E171" s="118" t="s">
        <v>303</v>
      </c>
      <c r="F171" s="103" t="s">
        <v>543</v>
      </c>
      <c r="I171" s="118" t="s">
        <v>303</v>
      </c>
      <c r="J171" s="103" t="s">
        <v>353</v>
      </c>
    </row>
    <row r="172" spans="1:10" x14ac:dyDescent="0.25">
      <c r="A172" s="118" t="s">
        <v>311</v>
      </c>
      <c r="B172" s="122">
        <v>46261</v>
      </c>
      <c r="E172" s="118" t="s">
        <v>311</v>
      </c>
      <c r="F172" s="122">
        <v>46261</v>
      </c>
      <c r="I172" s="118" t="s">
        <v>311</v>
      </c>
      <c r="J172" s="122">
        <v>46264</v>
      </c>
    </row>
    <row r="173" spans="1:10" x14ac:dyDescent="0.25">
      <c r="A173" s="123" t="s">
        <v>803</v>
      </c>
      <c r="B173" s="124">
        <f>IF(OR(B164="",B162=""),"",B164-B162)</f>
        <v>11</v>
      </c>
      <c r="E173" s="123" t="s">
        <v>803</v>
      </c>
      <c r="F173" s="124">
        <f>IF(OR(F164="",F162=""),"",F164-F162)</f>
        <v>7</v>
      </c>
      <c r="I173" s="123" t="s">
        <v>803</v>
      </c>
      <c r="J173" s="124">
        <f>IF(OR(J164="",J162=""),"",J164-J162)</f>
        <v>13</v>
      </c>
    </row>
    <row r="174" spans="1:10" x14ac:dyDescent="0.25">
      <c r="A174" s="118" t="s">
        <v>804</v>
      </c>
      <c r="B174" s="125">
        <f>IF(OR(B161="",B162=""),"",B161-B162)</f>
        <v>-26</v>
      </c>
      <c r="E174" s="118" t="s">
        <v>804</v>
      </c>
      <c r="F174" s="125">
        <f>IF(OR(F161="",F162=""),"",F161-F162)</f>
        <v>-53</v>
      </c>
      <c r="I174" s="118" t="s">
        <v>804</v>
      </c>
      <c r="J174" s="125">
        <f>IF(OR(J161="",J162=""),"",J161-J162)</f>
        <v>0</v>
      </c>
    </row>
    <row r="175" spans="1:10" x14ac:dyDescent="0.25">
      <c r="A175" s="123" t="s">
        <v>805</v>
      </c>
      <c r="B175" s="126">
        <v>460.2</v>
      </c>
      <c r="E175" s="123" t="s">
        <v>805</v>
      </c>
      <c r="F175" s="126">
        <v>94.4</v>
      </c>
      <c r="I175" s="123" t="s">
        <v>805</v>
      </c>
      <c r="J175" s="126"/>
    </row>
    <row r="176" spans="1:10" x14ac:dyDescent="0.25">
      <c r="A176" s="123" t="s">
        <v>806</v>
      </c>
      <c r="B176" s="127">
        <v>259.9211320754717</v>
      </c>
      <c r="E176" s="123" t="s">
        <v>806</v>
      </c>
      <c r="F176" s="127">
        <v>628.1384905660377</v>
      </c>
      <c r="I176" s="123" t="s">
        <v>806</v>
      </c>
      <c r="J176" s="127">
        <v>108.11320754716981</v>
      </c>
    </row>
    <row r="177" spans="1:10" x14ac:dyDescent="0.25">
      <c r="A177" s="123" t="s">
        <v>307</v>
      </c>
      <c r="B177" s="128" t="s">
        <v>81</v>
      </c>
      <c r="E177" s="123" t="s">
        <v>307</v>
      </c>
      <c r="F177" s="128" t="s">
        <v>85</v>
      </c>
      <c r="I177" s="123" t="s">
        <v>307</v>
      </c>
      <c r="J177" s="128" t="s">
        <v>89</v>
      </c>
    </row>
    <row r="178" spans="1:10" x14ac:dyDescent="0.25">
      <c r="A178" s="123" t="s">
        <v>807</v>
      </c>
      <c r="B178" s="129">
        <v>0</v>
      </c>
      <c r="E178" s="123" t="s">
        <v>807</v>
      </c>
      <c r="F178" s="129">
        <v>0</v>
      </c>
      <c r="I178" s="123" t="s">
        <v>807</v>
      </c>
      <c r="J178" s="129">
        <v>0</v>
      </c>
    </row>
    <row r="179" spans="1:10" x14ac:dyDescent="0.25">
      <c r="A179" s="123" t="s">
        <v>808</v>
      </c>
      <c r="B179" s="128">
        <v>0</v>
      </c>
      <c r="E179" s="123" t="s">
        <v>808</v>
      </c>
      <c r="F179" s="128">
        <v>0</v>
      </c>
      <c r="I179" s="123" t="s">
        <v>808</v>
      </c>
      <c r="J179" s="128">
        <v>0</v>
      </c>
    </row>
    <row r="180" spans="1:10" x14ac:dyDescent="0.25">
      <c r="A180" s="123" t="s">
        <v>809</v>
      </c>
      <c r="B180" s="128">
        <f>SUM(B175:B176)</f>
        <v>720.1211</v>
      </c>
      <c r="E180" s="123" t="s">
        <v>809</v>
      </c>
      <c r="F180" s="128">
        <f>SUM(F175:F176)</f>
        <v>722.5385</v>
      </c>
      <c r="I180" s="123" t="s">
        <v>809</v>
      </c>
      <c r="J180" s="128">
        <f>SUM(J175:J176)</f>
        <v>108.1132</v>
      </c>
    </row>
    <row r="182" spans="1:10" x14ac:dyDescent="0.25">
      <c r="A182" s="118"/>
      <c r="B182" s="119"/>
      <c r="E182" s="118"/>
      <c r="F182" s="119"/>
      <c r="I182" s="118"/>
      <c r="J182" s="119"/>
    </row>
    <row r="183" spans="1:10" x14ac:dyDescent="0.25">
      <c r="A183" s="118" t="s">
        <v>795</v>
      </c>
      <c r="B183" s="119" t="s">
        <v>828</v>
      </c>
      <c r="E183" s="118" t="s">
        <v>795</v>
      </c>
      <c r="F183" s="119" t="s">
        <v>829</v>
      </c>
      <c r="I183" s="118" t="s">
        <v>795</v>
      </c>
      <c r="J183" s="119" t="s">
        <v>830</v>
      </c>
    </row>
    <row r="184" spans="1:10" x14ac:dyDescent="0.25">
      <c r="A184" s="118" t="s">
        <v>799</v>
      </c>
      <c r="B184" s="103" t="s">
        <v>91</v>
      </c>
      <c r="E184" s="118" t="s">
        <v>799</v>
      </c>
      <c r="F184" s="103" t="s">
        <v>95</v>
      </c>
      <c r="I184" s="118" t="s">
        <v>799</v>
      </c>
      <c r="J184" s="103" t="s">
        <v>99</v>
      </c>
    </row>
    <row r="185" spans="1:10" x14ac:dyDescent="0.25">
      <c r="A185" s="118" t="s">
        <v>282</v>
      </c>
      <c r="B185" s="120" t="s">
        <v>312</v>
      </c>
      <c r="E185" s="118" t="s">
        <v>282</v>
      </c>
      <c r="F185" s="120" t="s">
        <v>312</v>
      </c>
      <c r="I185" s="118" t="s">
        <v>282</v>
      </c>
      <c r="J185" s="120" t="s">
        <v>312</v>
      </c>
    </row>
    <row r="186" spans="1:10" x14ac:dyDescent="0.25">
      <c r="A186" s="118" t="s">
        <v>288</v>
      </c>
      <c r="B186" s="121" t="s">
        <v>379</v>
      </c>
      <c r="E186" s="118" t="s">
        <v>288</v>
      </c>
      <c r="F186" s="121" t="s">
        <v>459</v>
      </c>
      <c r="I186" s="118" t="s">
        <v>288</v>
      </c>
      <c r="J186" s="121" t="s">
        <v>445</v>
      </c>
    </row>
    <row r="187" spans="1:10" x14ac:dyDescent="0.25">
      <c r="A187" s="118" t="s">
        <v>800</v>
      </c>
      <c r="B187" s="105">
        <v>46206</v>
      </c>
      <c r="E187" s="118" t="s">
        <v>800</v>
      </c>
      <c r="F187" s="105">
        <v>46217</v>
      </c>
      <c r="I187" s="118" t="s">
        <v>800</v>
      </c>
      <c r="J187" s="105">
        <v>46212</v>
      </c>
    </row>
    <row r="188" spans="1:10" x14ac:dyDescent="0.25">
      <c r="A188" s="118" t="s">
        <v>294</v>
      </c>
      <c r="B188" s="105">
        <v>46232</v>
      </c>
      <c r="E188" s="118" t="s">
        <v>294</v>
      </c>
      <c r="F188" s="105">
        <v>46230</v>
      </c>
      <c r="I188" s="118" t="s">
        <v>294</v>
      </c>
      <c r="J188" s="105">
        <v>46228</v>
      </c>
    </row>
    <row r="189" spans="1:10" x14ac:dyDescent="0.25">
      <c r="A189" s="118" t="s">
        <v>295</v>
      </c>
      <c r="B189" s="122">
        <v>46235</v>
      </c>
      <c r="E189" s="118" t="s">
        <v>295</v>
      </c>
      <c r="F189" s="122">
        <v>46230</v>
      </c>
      <c r="I189" s="118" t="s">
        <v>295</v>
      </c>
      <c r="J189" s="105">
        <v>46229</v>
      </c>
    </row>
    <row r="190" spans="1:10" x14ac:dyDescent="0.25">
      <c r="A190" s="118" t="s">
        <v>296</v>
      </c>
      <c r="B190" s="105">
        <v>46237</v>
      </c>
      <c r="E190" s="118" t="s">
        <v>296</v>
      </c>
      <c r="F190" s="105">
        <v>46252</v>
      </c>
      <c r="I190" s="118" t="s">
        <v>296</v>
      </c>
      <c r="J190" s="105">
        <v>46233</v>
      </c>
    </row>
    <row r="191" spans="1:10" x14ac:dyDescent="0.25">
      <c r="A191" s="118" t="s">
        <v>297</v>
      </c>
      <c r="B191" s="105">
        <v>46233</v>
      </c>
      <c r="E191" s="118" t="s">
        <v>297</v>
      </c>
      <c r="F191" s="105">
        <v>46228</v>
      </c>
      <c r="I191" s="118" t="s">
        <v>297</v>
      </c>
      <c r="J191" s="105">
        <v>46227</v>
      </c>
    </row>
    <row r="192" spans="1:10" x14ac:dyDescent="0.25">
      <c r="A192" s="118" t="s">
        <v>298</v>
      </c>
      <c r="B192" s="105">
        <v>46238</v>
      </c>
      <c r="E192" s="118" t="s">
        <v>298</v>
      </c>
      <c r="F192" s="105">
        <v>46253</v>
      </c>
      <c r="I192" s="118" t="s">
        <v>298</v>
      </c>
      <c r="J192" s="105">
        <v>46233</v>
      </c>
    </row>
    <row r="193" spans="1:10" x14ac:dyDescent="0.25">
      <c r="A193" s="118" t="s">
        <v>299</v>
      </c>
      <c r="B193" s="105">
        <v>46239</v>
      </c>
      <c r="E193" s="118" t="s">
        <v>299</v>
      </c>
      <c r="F193" s="105">
        <v>46253</v>
      </c>
      <c r="I193" s="118" t="s">
        <v>299</v>
      </c>
      <c r="J193" s="105">
        <v>46233</v>
      </c>
    </row>
    <row r="194" spans="1:10" x14ac:dyDescent="0.25">
      <c r="A194" s="118" t="s">
        <v>300</v>
      </c>
      <c r="B194" s="105">
        <v>46237</v>
      </c>
      <c r="E194" s="118" t="s">
        <v>300</v>
      </c>
      <c r="F194" s="105">
        <v>46252</v>
      </c>
      <c r="I194" s="118" t="s">
        <v>300</v>
      </c>
      <c r="J194" s="105">
        <v>46233</v>
      </c>
    </row>
    <row r="195" spans="1:10" x14ac:dyDescent="0.25">
      <c r="A195" s="118" t="s">
        <v>301</v>
      </c>
      <c r="B195" s="105">
        <v>46267</v>
      </c>
      <c r="E195" s="118" t="s">
        <v>301</v>
      </c>
      <c r="F195" s="105">
        <v>46266</v>
      </c>
      <c r="I195" s="118" t="s">
        <v>301</v>
      </c>
      <c r="J195" s="105">
        <v>46262</v>
      </c>
    </row>
    <row r="196" spans="1:10" x14ac:dyDescent="0.25">
      <c r="A196" s="118" t="s">
        <v>801</v>
      </c>
      <c r="B196" s="121">
        <f>IF(OR(B195="",B194=""),"",B195-B194)</f>
        <v>30</v>
      </c>
      <c r="E196" s="118" t="s">
        <v>801</v>
      </c>
      <c r="F196" s="121">
        <f>IF(OR(F195="",F194=""),"",F195-F194)</f>
        <v>14</v>
      </c>
      <c r="I196" s="118" t="s">
        <v>801</v>
      </c>
      <c r="J196" s="121">
        <f>J195-J194</f>
      </c>
    </row>
    <row r="197" spans="1:10" x14ac:dyDescent="0.25">
      <c r="A197" s="118" t="s">
        <v>303</v>
      </c>
      <c r="B197" s="103" t="s">
        <v>563</v>
      </c>
      <c r="E197" s="118" t="s">
        <v>303</v>
      </c>
      <c r="F197" s="103" t="s">
        <v>386</v>
      </c>
      <c r="I197" s="118" t="s">
        <v>303</v>
      </c>
      <c r="J197" s="103" t="s">
        <v>831</v>
      </c>
    </row>
    <row r="198" spans="1:10" x14ac:dyDescent="0.25">
      <c r="A198" s="118" t="s">
        <v>311</v>
      </c>
      <c r="B198" s="122">
        <v>46270</v>
      </c>
      <c r="E198" s="118" t="s">
        <v>311</v>
      </c>
      <c r="F198" s="122">
        <v>46268</v>
      </c>
      <c r="I198" s="118" t="s">
        <v>311</v>
      </c>
      <c r="J198" s="122">
        <v>46265</v>
      </c>
    </row>
    <row r="199" spans="1:10" x14ac:dyDescent="0.25">
      <c r="A199" s="123" t="s">
        <v>803</v>
      </c>
      <c r="B199" s="124">
        <f>IF(OR(B190="",B188=""),"",B190-B188)</f>
        <v>5</v>
      </c>
      <c r="E199" s="123" t="s">
        <v>803</v>
      </c>
      <c r="F199" s="124">
        <f>IF(OR(F190="",F188=""),"",F190-F188)</f>
        <v>22</v>
      </c>
      <c r="I199" s="123" t="s">
        <v>803</v>
      </c>
      <c r="J199" s="124">
        <f>IF(OR(J190="",J188=""),"",J190-J188)</f>
      </c>
    </row>
    <row r="200" spans="1:10" x14ac:dyDescent="0.25">
      <c r="A200" s="118" t="s">
        <v>804</v>
      </c>
      <c r="B200" s="125">
        <f>IF(OR(B187="",B188=""),"",B187-B188)</f>
        <v>-26</v>
      </c>
      <c r="E200" s="118" t="s">
        <v>804</v>
      </c>
      <c r="F200" s="125">
        <f>IF(OR(F187="",F188=""),"",F187-F188)</f>
        <v>-13</v>
      </c>
      <c r="I200" s="118" t="s">
        <v>804</v>
      </c>
      <c r="J200" s="125">
        <f>IF(OR(J187="",J188=""),"",J187-J188)</f>
      </c>
    </row>
    <row r="201" spans="1:10" x14ac:dyDescent="0.25">
      <c r="A201" s="123" t="s">
        <v>805</v>
      </c>
      <c r="B201" s="126">
        <v>743.4</v>
      </c>
      <c r="E201" s="123" t="s">
        <v>805</v>
      </c>
      <c r="F201" s="126">
        <v>1026.6</v>
      </c>
      <c r="I201" s="123" t="s">
        <v>805</v>
      </c>
      <c r="J201" s="126">
        <v>743.4</v>
      </c>
    </row>
    <row r="202" spans="1:10" x14ac:dyDescent="0.25">
      <c r="A202" s="123" t="s">
        <v>806</v>
      </c>
      <c r="B202" s="127">
        <v>540.7596226415094</v>
      </c>
      <c r="E202" s="123" t="s">
        <v>806</v>
      </c>
      <c r="F202" s="127">
        <v>388.9966037735849</v>
      </c>
      <c r="I202" s="123" t="s">
        <v>806</v>
      </c>
      <c r="J202" s="127">
        <v>368.08830188679246</v>
      </c>
    </row>
    <row r="203" spans="1:10" x14ac:dyDescent="0.25">
      <c r="A203" s="123" t="s">
        <v>307</v>
      </c>
      <c r="B203" s="128" t="s">
        <v>93</v>
      </c>
      <c r="E203" s="123" t="s">
        <v>307</v>
      </c>
      <c r="F203" s="128" t="s">
        <v>97</v>
      </c>
      <c r="I203" s="123" t="s">
        <v>307</v>
      </c>
      <c r="J203" s="128" t="s">
        <v>101</v>
      </c>
    </row>
    <row r="204" spans="1:10" x14ac:dyDescent="0.25">
      <c r="A204" s="123" t="s">
        <v>807</v>
      </c>
      <c r="B204" s="129">
        <v>0</v>
      </c>
      <c r="E204" s="123" t="s">
        <v>807</v>
      </c>
      <c r="F204" s="129">
        <v>0</v>
      </c>
      <c r="I204" s="123" t="s">
        <v>807</v>
      </c>
      <c r="J204" s="129">
        <v>0</v>
      </c>
    </row>
    <row r="205" spans="1:10" x14ac:dyDescent="0.25">
      <c r="A205" s="123" t="s">
        <v>808</v>
      </c>
      <c r="B205" s="128">
        <v>0</v>
      </c>
      <c r="E205" s="123" t="s">
        <v>808</v>
      </c>
      <c r="F205" s="128">
        <v>0</v>
      </c>
      <c r="I205" s="123" t="s">
        <v>808</v>
      </c>
      <c r="J205" s="128">
        <v>0</v>
      </c>
    </row>
    <row r="206" spans="1:10" x14ac:dyDescent="0.25">
      <c r="A206" s="123" t="s">
        <v>809</v>
      </c>
      <c r="B206" s="128">
        <f>SUM(B201:B202)</f>
        <v>1284.1596</v>
      </c>
      <c r="E206" s="123" t="s">
        <v>809</v>
      </c>
      <c r="F206" s="128">
        <f>SUM(F201:F202)</f>
        <v>1415.5966</v>
      </c>
      <c r="I206" s="123" t="s">
        <v>809</v>
      </c>
      <c r="J206" s="128">
        <f>SUM(J201:J202)</f>
        <v>1111.4883</v>
      </c>
    </row>
    <row r="208" spans="1:10" x14ac:dyDescent="0.25">
      <c r="A208" s="118"/>
      <c r="B208" s="119"/>
      <c r="E208" s="118"/>
      <c r="F208" s="119"/>
      <c r="I208" s="118"/>
      <c r="J208" s="119"/>
    </row>
    <row r="209" spans="1:10" x14ac:dyDescent="0.25">
      <c r="A209" s="118" t="s">
        <v>795</v>
      </c>
      <c r="B209" s="119" t="s">
        <v>832</v>
      </c>
      <c r="E209" s="118" t="s">
        <v>795</v>
      </c>
      <c r="F209" s="119" t="s">
        <v>833</v>
      </c>
      <c r="I209" s="118" t="s">
        <v>795</v>
      </c>
      <c r="J209" s="119" t="s">
        <v>834</v>
      </c>
    </row>
    <row r="210" spans="1:10" x14ac:dyDescent="0.25">
      <c r="A210" s="118" t="s">
        <v>799</v>
      </c>
      <c r="B210" s="103" t="s">
        <v>103</v>
      </c>
      <c r="E210" s="118" t="s">
        <v>799</v>
      </c>
      <c r="F210" s="130" t="s">
        <v>106</v>
      </c>
      <c r="I210" s="118" t="s">
        <v>799</v>
      </c>
      <c r="J210" s="103" t="s">
        <v>110</v>
      </c>
    </row>
    <row r="211" spans="1:10" x14ac:dyDescent="0.25">
      <c r="A211" s="118" t="s">
        <v>282</v>
      </c>
      <c r="B211" s="120" t="s">
        <v>312</v>
      </c>
      <c r="E211" s="118" t="s">
        <v>282</v>
      </c>
      <c r="F211" s="120" t="s">
        <v>312</v>
      </c>
      <c r="I211" s="118" t="s">
        <v>282</v>
      </c>
      <c r="J211" s="120" t="s">
        <v>312</v>
      </c>
    </row>
    <row r="212" spans="1:10" x14ac:dyDescent="0.25">
      <c r="A212" s="118" t="s">
        <v>288</v>
      </c>
      <c r="B212" s="121" t="s">
        <v>327</v>
      </c>
      <c r="E212" s="118" t="s">
        <v>288</v>
      </c>
      <c r="F212" s="121" t="s">
        <v>445</v>
      </c>
      <c r="I212" s="118" t="s">
        <v>288</v>
      </c>
      <c r="J212" s="121" t="s">
        <v>350</v>
      </c>
    </row>
    <row r="213" spans="1:10" x14ac:dyDescent="0.25">
      <c r="A213" s="118" t="s">
        <v>800</v>
      </c>
      <c r="B213" s="105">
        <v>46200</v>
      </c>
      <c r="E213" s="118" t="s">
        <v>800</v>
      </c>
      <c r="F213" s="105">
        <v>46195</v>
      </c>
      <c r="I213" s="118" t="s">
        <v>800</v>
      </c>
      <c r="J213" s="105">
        <v>46263</v>
      </c>
    </row>
    <row r="214" spans="1:10" x14ac:dyDescent="0.25">
      <c r="A214" s="118" t="s">
        <v>294</v>
      </c>
      <c r="B214" s="105">
        <v>46225</v>
      </c>
      <c r="E214" s="118" t="s">
        <v>294</v>
      </c>
      <c r="F214" s="105">
        <v>46204</v>
      </c>
      <c r="I214" s="118" t="s">
        <v>294</v>
      </c>
      <c r="J214" s="105">
        <v>46269</v>
      </c>
    </row>
    <row r="215" spans="1:10" x14ac:dyDescent="0.25">
      <c r="A215" s="118" t="s">
        <v>295</v>
      </c>
      <c r="B215" s="105">
        <v>46225</v>
      </c>
      <c r="E215" s="118" t="s">
        <v>295</v>
      </c>
      <c r="F215" s="105">
        <v>46206</v>
      </c>
      <c r="I215" s="118" t="s">
        <v>295</v>
      </c>
      <c r="J215" s="122">
        <v>46274</v>
      </c>
    </row>
    <row r="216" spans="1:10" x14ac:dyDescent="0.25">
      <c r="A216" s="118" t="s">
        <v>296</v>
      </c>
      <c r="B216" s="105">
        <v>46237</v>
      </c>
      <c r="E216" s="118" t="s">
        <v>296</v>
      </c>
      <c r="F216" s="105">
        <v>46216</v>
      </c>
      <c r="I216" s="118" t="s">
        <v>296</v>
      </c>
      <c r="J216" s="105">
        <v>46287</v>
      </c>
    </row>
    <row r="217" spans="1:10" x14ac:dyDescent="0.25">
      <c r="A217" s="118" t="s">
        <v>297</v>
      </c>
      <c r="B217" s="105">
        <v>46226</v>
      </c>
      <c r="E217" s="118" t="s">
        <v>297</v>
      </c>
      <c r="F217" s="105">
        <v>46211</v>
      </c>
      <c r="I217" s="118" t="s">
        <v>297</v>
      </c>
      <c r="J217" s="105">
        <v>46269</v>
      </c>
    </row>
    <row r="218" spans="1:10" x14ac:dyDescent="0.25">
      <c r="A218" s="118" t="s">
        <v>298</v>
      </c>
      <c r="B218" s="105">
        <v>46244</v>
      </c>
      <c r="E218" s="118" t="s">
        <v>298</v>
      </c>
      <c r="F218" s="105">
        <v>46219</v>
      </c>
      <c r="I218" s="118" t="s">
        <v>298</v>
      </c>
      <c r="J218" s="105">
        <v>46288</v>
      </c>
    </row>
    <row r="219" spans="1:10" x14ac:dyDescent="0.25">
      <c r="A219" s="118" t="s">
        <v>299</v>
      </c>
      <c r="B219" s="105">
        <v>46244</v>
      </c>
      <c r="E219" s="118" t="s">
        <v>299</v>
      </c>
      <c r="F219" s="105">
        <v>46219</v>
      </c>
      <c r="I219" s="118" t="s">
        <v>299</v>
      </c>
      <c r="J219" s="105">
        <v>46288</v>
      </c>
    </row>
    <row r="220" spans="1:10" x14ac:dyDescent="0.25">
      <c r="A220" s="118" t="s">
        <v>300</v>
      </c>
      <c r="B220" s="105">
        <v>46237</v>
      </c>
      <c r="E220" s="118" t="s">
        <v>300</v>
      </c>
      <c r="F220" s="105">
        <v>46216</v>
      </c>
      <c r="I220" s="118" t="s">
        <v>300</v>
      </c>
      <c r="J220" s="105">
        <v>46287</v>
      </c>
    </row>
    <row r="221" spans="1:10" x14ac:dyDescent="0.25">
      <c r="A221" s="118" t="s">
        <v>301</v>
      </c>
      <c r="B221" s="105">
        <v>46240</v>
      </c>
      <c r="E221" s="118" t="s">
        <v>301</v>
      </c>
      <c r="F221" s="105">
        <v>46218</v>
      </c>
      <c r="I221" s="118" t="s">
        <v>301</v>
      </c>
      <c r="J221" s="105">
        <v>46287</v>
      </c>
    </row>
    <row r="222" spans="1:10" x14ac:dyDescent="0.25">
      <c r="A222" s="118" t="s">
        <v>801</v>
      </c>
      <c r="B222" s="121">
        <f>B221-B220</f>
      </c>
      <c r="E222" s="118" t="s">
        <v>801</v>
      </c>
      <c r="F222" s="121">
        <f>F221-F220</f>
      </c>
      <c r="I222" s="118" t="s">
        <v>801</v>
      </c>
      <c r="J222" s="121">
        <f>IF(OR(J221="",J220=""),"",J221-J220)</f>
        <v>0</v>
      </c>
    </row>
    <row r="223" spans="1:10" x14ac:dyDescent="0.25">
      <c r="A223" s="118" t="s">
        <v>303</v>
      </c>
      <c r="B223" s="103" t="s">
        <v>563</v>
      </c>
      <c r="E223" s="118" t="s">
        <v>303</v>
      </c>
      <c r="F223" s="103" t="s">
        <v>587</v>
      </c>
      <c r="I223" s="118" t="s">
        <v>303</v>
      </c>
      <c r="J223" s="103" t="s">
        <v>596</v>
      </c>
    </row>
    <row r="224" spans="1:10" x14ac:dyDescent="0.25">
      <c r="A224" s="118" t="s">
        <v>311</v>
      </c>
      <c r="B224" s="122">
        <v>46245</v>
      </c>
      <c r="E224" s="118" t="s">
        <v>311</v>
      </c>
      <c r="F224" s="122">
        <v>46219</v>
      </c>
      <c r="I224" s="118" t="s">
        <v>311</v>
      </c>
      <c r="J224" s="122">
        <v>46288</v>
      </c>
    </row>
    <row r="225" spans="1:10" x14ac:dyDescent="0.25">
      <c r="A225" s="123" t="s">
        <v>803</v>
      </c>
      <c r="B225" s="124">
        <f>IF(OR(B216="",B214=""),"",B216-B214)</f>
      </c>
      <c r="E225" s="123" t="s">
        <v>803</v>
      </c>
      <c r="F225" s="124">
        <f>IF(OR(F216="",F214=""),"",F216-F214)</f>
      </c>
      <c r="I225" s="123" t="s">
        <v>803</v>
      </c>
      <c r="J225" s="124">
        <f>IF(OR(J216="",J214=""),"",J216-J214)</f>
        <v>18</v>
      </c>
    </row>
    <row r="226" spans="1:10" x14ac:dyDescent="0.25">
      <c r="A226" s="118" t="s">
        <v>804</v>
      </c>
      <c r="B226" s="125">
        <f>IF(OR(B213="",B214=""),"",B213-B214)</f>
      </c>
      <c r="E226" s="118" t="s">
        <v>804</v>
      </c>
      <c r="F226" s="125">
        <f>IF(OR(F213="",F214=""),"",F213-F214)</f>
      </c>
      <c r="I226" s="118" t="s">
        <v>804</v>
      </c>
      <c r="J226" s="125">
        <f>IF(OR(J213="",J214=""),"",J213-J214)</f>
        <v>-6</v>
      </c>
    </row>
    <row r="227" spans="1:10" x14ac:dyDescent="0.25">
      <c r="A227" s="123" t="s">
        <v>805</v>
      </c>
      <c r="B227" s="126">
        <v>590</v>
      </c>
      <c r="E227" s="123" t="s">
        <v>805</v>
      </c>
      <c r="F227" s="126">
        <v>380</v>
      </c>
      <c r="I227" s="123" t="s">
        <v>805</v>
      </c>
      <c r="J227" s="126"/>
    </row>
    <row r="228" spans="1:10" x14ac:dyDescent="0.25">
      <c r="A228" s="123" t="s">
        <v>806</v>
      </c>
      <c r="B228" s="127">
        <v>21.683018867924527</v>
      </c>
      <c r="E228" s="123" t="s">
        <v>806</v>
      </c>
      <c r="F228" s="127"/>
      <c r="I228" s="123" t="s">
        <v>806</v>
      </c>
      <c r="J228" s="127">
        <v>136.0547169811321</v>
      </c>
    </row>
    <row r="229" spans="1:10" x14ac:dyDescent="0.25">
      <c r="A229" s="123" t="s">
        <v>307</v>
      </c>
      <c r="B229" s="128" t="s">
        <v>14</v>
      </c>
      <c r="E229" s="123" t="s">
        <v>307</v>
      </c>
      <c r="F229" s="128" t="s">
        <v>108</v>
      </c>
      <c r="I229" s="123" t="s">
        <v>307</v>
      </c>
      <c r="J229" s="128" t="s">
        <v>112</v>
      </c>
    </row>
    <row r="230" spans="1:10" x14ac:dyDescent="0.25">
      <c r="A230" s="123" t="s">
        <v>807</v>
      </c>
      <c r="B230" s="129">
        <v>0</v>
      </c>
      <c r="E230" s="123" t="s">
        <v>807</v>
      </c>
      <c r="F230" s="129">
        <v>0</v>
      </c>
      <c r="I230" s="123" t="s">
        <v>807</v>
      </c>
      <c r="J230" s="129">
        <v>0</v>
      </c>
    </row>
    <row r="231" spans="1:10" x14ac:dyDescent="0.25">
      <c r="A231" s="123" t="s">
        <v>808</v>
      </c>
      <c r="B231" s="128">
        <v>0</v>
      </c>
      <c r="E231" s="123" t="s">
        <v>808</v>
      </c>
      <c r="F231" s="128">
        <v>0</v>
      </c>
      <c r="I231" s="123" t="s">
        <v>808</v>
      </c>
      <c r="J231" s="128">
        <v>0</v>
      </c>
    </row>
    <row r="232" spans="1:10" x14ac:dyDescent="0.25">
      <c r="A232" s="123" t="s">
        <v>809</v>
      </c>
      <c r="B232" s="128">
        <f>SUM(B227:B228)</f>
        <v>611.683</v>
      </c>
      <c r="E232" s="123" t="s">
        <v>809</v>
      </c>
      <c r="F232" s="128">
        <f>SUM(F227:F228)</f>
        <v>380</v>
      </c>
      <c r="I232" s="123" t="s">
        <v>809</v>
      </c>
      <c r="J232" s="128">
        <f>SUM(J227:J228)</f>
        <v>136.0547</v>
      </c>
    </row>
    <row r="235" spans="1:10" x14ac:dyDescent="0.25">
      <c r="A235" s="118" t="s">
        <v>795</v>
      </c>
      <c r="B235" s="119" t="s">
        <v>835</v>
      </c>
      <c r="E235" s="118" t="s">
        <v>795</v>
      </c>
      <c r="F235" s="119" t="s">
        <v>836</v>
      </c>
      <c r="I235" s="118" t="s">
        <v>795</v>
      </c>
      <c r="J235" s="119" t="s">
        <v>837</v>
      </c>
    </row>
    <row r="236" spans="1:10" x14ac:dyDescent="0.25">
      <c r="A236" s="118" t="s">
        <v>799</v>
      </c>
      <c r="B236" s="103" t="s">
        <v>227</v>
      </c>
      <c r="E236" s="118" t="s">
        <v>799</v>
      </c>
      <c r="F236" s="103" t="s">
        <v>118</v>
      </c>
      <c r="I236" s="118" t="s">
        <v>799</v>
      </c>
      <c r="J236" s="103" t="s">
        <v>121</v>
      </c>
    </row>
    <row r="237" spans="1:10" x14ac:dyDescent="0.25">
      <c r="A237" s="118" t="s">
        <v>282</v>
      </c>
      <c r="B237" s="120" t="s">
        <v>312</v>
      </c>
      <c r="E237" s="118" t="s">
        <v>282</v>
      </c>
      <c r="F237" s="120" t="s">
        <v>312</v>
      </c>
      <c r="I237" s="118" t="s">
        <v>282</v>
      </c>
      <c r="J237" s="120" t="s">
        <v>312</v>
      </c>
    </row>
    <row r="238" spans="1:10" x14ac:dyDescent="0.25">
      <c r="A238" s="118" t="s">
        <v>288</v>
      </c>
      <c r="B238" s="121" t="s">
        <v>445</v>
      </c>
      <c r="E238" s="118" t="s">
        <v>288</v>
      </c>
      <c r="F238" s="121" t="s">
        <v>361</v>
      </c>
      <c r="I238" s="118" t="s">
        <v>288</v>
      </c>
      <c r="J238" s="121" t="s">
        <v>361</v>
      </c>
    </row>
    <row r="239" spans="1:10" x14ac:dyDescent="0.25">
      <c r="A239" s="118" t="s">
        <v>800</v>
      </c>
      <c r="B239" s="105">
        <v>46212</v>
      </c>
      <c r="E239" s="118" t="s">
        <v>800</v>
      </c>
      <c r="F239" s="105">
        <v>46248</v>
      </c>
      <c r="I239" s="118" t="s">
        <v>800</v>
      </c>
      <c r="J239" s="105">
        <v>46248</v>
      </c>
    </row>
    <row r="240" spans="1:10" x14ac:dyDescent="0.25">
      <c r="A240" s="118" t="s">
        <v>294</v>
      </c>
      <c r="B240" s="105">
        <v>46237</v>
      </c>
      <c r="E240" s="118" t="s">
        <v>294</v>
      </c>
      <c r="F240" s="105">
        <v>46255</v>
      </c>
      <c r="I240" s="118" t="s">
        <v>294</v>
      </c>
      <c r="J240" s="105">
        <v>46255</v>
      </c>
    </row>
    <row r="241" spans="1:10" x14ac:dyDescent="0.25">
      <c r="A241" s="118" t="s">
        <v>295</v>
      </c>
      <c r="B241" s="122">
        <v>46238</v>
      </c>
      <c r="E241" s="118" t="s">
        <v>295</v>
      </c>
      <c r="F241" s="122">
        <v>46255</v>
      </c>
      <c r="I241" s="118" t="s">
        <v>295</v>
      </c>
      <c r="J241" s="122">
        <v>46255</v>
      </c>
    </row>
    <row r="242" spans="1:10" x14ac:dyDescent="0.25">
      <c r="A242" s="118" t="s">
        <v>296</v>
      </c>
      <c r="B242" s="105">
        <v>46241</v>
      </c>
      <c r="E242" s="118" t="s">
        <v>296</v>
      </c>
      <c r="F242" s="105">
        <v>46256</v>
      </c>
      <c r="I242" s="118" t="s">
        <v>296</v>
      </c>
      <c r="J242" s="105">
        <v>46256</v>
      </c>
    </row>
    <row r="243" spans="1:10" x14ac:dyDescent="0.25">
      <c r="A243" s="118" t="s">
        <v>297</v>
      </c>
      <c r="B243" s="105">
        <v>46232</v>
      </c>
      <c r="E243" s="118" t="s">
        <v>297</v>
      </c>
      <c r="F243" s="105">
        <v>46258</v>
      </c>
      <c r="I243" s="118" t="s">
        <v>297</v>
      </c>
      <c r="J243" s="105">
        <v>46255</v>
      </c>
    </row>
    <row r="244" spans="1:10" x14ac:dyDescent="0.25">
      <c r="A244" s="118" t="s">
        <v>298</v>
      </c>
      <c r="B244" s="105">
        <v>46244</v>
      </c>
      <c r="E244" s="118" t="s">
        <v>298</v>
      </c>
      <c r="F244" s="105">
        <v>46266</v>
      </c>
      <c r="I244" s="118" t="s">
        <v>298</v>
      </c>
      <c r="J244" s="105">
        <v>46266</v>
      </c>
    </row>
    <row r="245" spans="1:10" x14ac:dyDescent="0.25">
      <c r="A245" s="118" t="s">
        <v>299</v>
      </c>
      <c r="B245" s="105">
        <v>46245</v>
      </c>
      <c r="E245" s="118" t="s">
        <v>299</v>
      </c>
      <c r="F245" s="105">
        <v>46266</v>
      </c>
      <c r="I245" s="118" t="s">
        <v>299</v>
      </c>
      <c r="J245" s="105">
        <v>46266</v>
      </c>
    </row>
    <row r="246" spans="1:10" x14ac:dyDescent="0.25">
      <c r="A246" s="118" t="s">
        <v>300</v>
      </c>
      <c r="B246" s="105">
        <v>46241</v>
      </c>
      <c r="E246" s="118" t="s">
        <v>300</v>
      </c>
      <c r="F246" s="105">
        <v>46256</v>
      </c>
      <c r="I246" s="118" t="s">
        <v>300</v>
      </c>
      <c r="J246" s="105">
        <v>46256</v>
      </c>
    </row>
    <row r="247" spans="1:10" x14ac:dyDescent="0.25">
      <c r="A247" s="118" t="s">
        <v>301</v>
      </c>
      <c r="B247" s="105">
        <v>46277</v>
      </c>
      <c r="E247" s="118" t="s">
        <v>301</v>
      </c>
      <c r="F247" s="105">
        <v>46286</v>
      </c>
      <c r="I247" s="118" t="s">
        <v>301</v>
      </c>
      <c r="J247" s="105">
        <v>46286</v>
      </c>
    </row>
    <row r="248" spans="1:10" x14ac:dyDescent="0.25">
      <c r="A248" s="118" t="s">
        <v>801</v>
      </c>
      <c r="B248" s="121">
        <f>IF(OR(B247="",B246=""),"",B247-B246)</f>
      </c>
      <c r="E248" s="118" t="s">
        <v>801</v>
      </c>
      <c r="F248" s="121">
        <f>IF(OR(F247="",F246=""),"",F247-F246)</f>
        <v>30</v>
      </c>
      <c r="I248" s="118" t="s">
        <v>801</v>
      </c>
      <c r="J248" s="121">
        <f>IF(OR(J247="",J246=""),"",J247-J246)</f>
        <v>30</v>
      </c>
    </row>
    <row r="249" spans="1:10" x14ac:dyDescent="0.25">
      <c r="A249" s="118" t="s">
        <v>303</v>
      </c>
      <c r="B249" s="103" t="s">
        <v>789</v>
      </c>
      <c r="E249" s="118" t="s">
        <v>303</v>
      </c>
      <c r="F249" s="103" t="s">
        <v>634</v>
      </c>
      <c r="I249" s="118" t="s">
        <v>303</v>
      </c>
      <c r="J249" s="103" t="s">
        <v>638</v>
      </c>
    </row>
    <row r="250" spans="1:10" x14ac:dyDescent="0.25">
      <c r="A250" s="118" t="s">
        <v>311</v>
      </c>
      <c r="B250" s="122">
        <v>46278</v>
      </c>
      <c r="E250" s="118" t="s">
        <v>311</v>
      </c>
      <c r="F250" s="122">
        <v>46287</v>
      </c>
      <c r="I250" s="118" t="s">
        <v>311</v>
      </c>
      <c r="J250" s="122">
        <v>46287</v>
      </c>
    </row>
    <row r="251" spans="1:10" x14ac:dyDescent="0.25">
      <c r="A251" s="123" t="s">
        <v>803</v>
      </c>
      <c r="B251" s="124">
        <f>IF(OR(B242="",B240=""),"",B242-B240)</f>
      </c>
      <c r="E251" s="123" t="s">
        <v>803</v>
      </c>
      <c r="F251" s="124">
        <f>IF(OR(F242="",F240=""),"",F242-F240)</f>
        <v>1</v>
      </c>
      <c r="I251" s="123" t="s">
        <v>803</v>
      </c>
      <c r="J251" s="124">
        <f>IF(OR(J242="",J240=""),"",J242-J240)</f>
        <v>1</v>
      </c>
    </row>
    <row r="252" spans="1:10" x14ac:dyDescent="0.25">
      <c r="A252" s="118" t="s">
        <v>804</v>
      </c>
      <c r="B252" s="125">
        <f>IF(OR(B239="",B240=""),"",B239-B240)</f>
      </c>
      <c r="E252" s="118" t="s">
        <v>804</v>
      </c>
      <c r="F252" s="125">
        <f>IF(OR(F239="",F240=""),"",F239-F240)</f>
        <v>-7</v>
      </c>
      <c r="I252" s="118" t="s">
        <v>804</v>
      </c>
      <c r="J252" s="125">
        <f>IF(OR(J239="",J240=""),"",J239-J240)</f>
        <v>-7</v>
      </c>
    </row>
    <row r="253" spans="1:10" x14ac:dyDescent="0.25">
      <c r="A253" s="123" t="s">
        <v>805</v>
      </c>
      <c r="B253" s="126">
        <v>1309.8</v>
      </c>
      <c r="E253" s="123" t="s">
        <v>805</v>
      </c>
      <c r="F253" s="126">
        <v>460.2</v>
      </c>
      <c r="I253" s="123" t="s">
        <v>805</v>
      </c>
      <c r="J253" s="126">
        <v>460.2</v>
      </c>
    </row>
    <row r="254" spans="1:10" x14ac:dyDescent="0.25">
      <c r="A254" s="123" t="s">
        <v>806</v>
      </c>
      <c r="B254" s="127">
        <v>496.53849056603775</v>
      </c>
      <c r="E254" s="123" t="s">
        <v>806</v>
      </c>
      <c r="F254" s="127">
        <v>279.87283018867925</v>
      </c>
      <c r="I254" s="123" t="s">
        <v>806</v>
      </c>
      <c r="J254" s="127">
        <v>279.87283018867925</v>
      </c>
    </row>
    <row r="255" spans="1:10" x14ac:dyDescent="0.25">
      <c r="A255" s="123" t="s">
        <v>307</v>
      </c>
      <c r="B255" s="128" t="s">
        <v>225</v>
      </c>
      <c r="E255" s="123" t="s">
        <v>307</v>
      </c>
      <c r="F255" s="128" t="s">
        <v>20</v>
      </c>
      <c r="I255" s="123" t="s">
        <v>307</v>
      </c>
      <c r="J255" s="128" t="s">
        <v>20</v>
      </c>
    </row>
    <row r="256" spans="1:10" x14ac:dyDescent="0.25">
      <c r="A256" s="123" t="s">
        <v>807</v>
      </c>
      <c r="B256" s="129">
        <v>0</v>
      </c>
      <c r="E256" s="123" t="s">
        <v>807</v>
      </c>
      <c r="F256" s="129">
        <v>0</v>
      </c>
      <c r="I256" s="123" t="s">
        <v>807</v>
      </c>
      <c r="J256" s="129">
        <v>0</v>
      </c>
    </row>
    <row r="257" spans="1:10" x14ac:dyDescent="0.25">
      <c r="A257" s="123" t="s">
        <v>808</v>
      </c>
      <c r="B257" s="128">
        <v>0</v>
      </c>
      <c r="E257" s="123" t="s">
        <v>808</v>
      </c>
      <c r="F257" s="128">
        <v>0</v>
      </c>
      <c r="I257" s="123" t="s">
        <v>808</v>
      </c>
      <c r="J257" s="128">
        <v>0</v>
      </c>
    </row>
    <row r="258" spans="1:10" x14ac:dyDescent="0.25">
      <c r="A258" s="123" t="s">
        <v>809</v>
      </c>
      <c r="B258" s="128">
        <f>SUM(B253:B254)</f>
        <v>1806.3385</v>
      </c>
      <c r="E258" s="123" t="s">
        <v>809</v>
      </c>
      <c r="F258" s="128">
        <f>SUM(F253:F254)</f>
        <v>740.0728</v>
      </c>
      <c r="I258" s="123" t="s">
        <v>809</v>
      </c>
      <c r="J258" s="128">
        <f>SUM(J253:J254)</f>
        <v>740.0728</v>
      </c>
    </row>
    <row r="261" spans="1:10" x14ac:dyDescent="0.25">
      <c r="A261" s="118" t="s">
        <v>795</v>
      </c>
      <c r="B261" s="119" t="s">
        <v>838</v>
      </c>
      <c r="E261" s="118" t="s">
        <v>795</v>
      </c>
      <c r="F261" s="119" t="s">
        <v>839</v>
      </c>
      <c r="I261" s="118" t="s">
        <v>795</v>
      </c>
      <c r="J261" s="119" t="s">
        <v>840</v>
      </c>
    </row>
    <row r="262" spans="1:10" x14ac:dyDescent="0.25">
      <c r="A262" s="118" t="s">
        <v>799</v>
      </c>
      <c r="B262" s="103" t="s">
        <v>124</v>
      </c>
      <c r="E262" s="118" t="s">
        <v>799</v>
      </c>
      <c r="F262" s="103" t="s">
        <v>128</v>
      </c>
      <c r="I262" s="118" t="s">
        <v>799</v>
      </c>
      <c r="J262" s="103" t="s">
        <v>132</v>
      </c>
    </row>
    <row r="263" spans="1:10" x14ac:dyDescent="0.25">
      <c r="A263" s="118" t="s">
        <v>282</v>
      </c>
      <c r="B263" s="120" t="s">
        <v>312</v>
      </c>
      <c r="E263" s="118" t="s">
        <v>282</v>
      </c>
      <c r="F263" s="120" t="s">
        <v>312</v>
      </c>
      <c r="I263" s="118" t="s">
        <v>282</v>
      </c>
      <c r="J263" s="120" t="s">
        <v>312</v>
      </c>
    </row>
    <row r="264" spans="1:10" x14ac:dyDescent="0.25">
      <c r="A264" s="118" t="s">
        <v>288</v>
      </c>
      <c r="B264" s="121" t="s">
        <v>379</v>
      </c>
      <c r="E264" s="118" t="s">
        <v>288</v>
      </c>
      <c r="F264" s="121" t="s">
        <v>459</v>
      </c>
      <c r="I264" s="118" t="s">
        <v>288</v>
      </c>
      <c r="J264" s="121" t="s">
        <v>422</v>
      </c>
    </row>
    <row r="265" spans="1:10" x14ac:dyDescent="0.25">
      <c r="A265" s="118" t="s">
        <v>800</v>
      </c>
      <c r="B265" s="105">
        <v>46260</v>
      </c>
      <c r="E265" s="118" t="s">
        <v>800</v>
      </c>
      <c r="F265" s="105">
        <v>46240</v>
      </c>
      <c r="I265" s="118" t="s">
        <v>800</v>
      </c>
      <c r="J265" s="105">
        <v>46240</v>
      </c>
    </row>
    <row r="266" spans="1:10" x14ac:dyDescent="0.25">
      <c r="A266" s="118" t="s">
        <v>294</v>
      </c>
      <c r="B266" s="105">
        <v>46263</v>
      </c>
      <c r="E266" s="118" t="s">
        <v>294</v>
      </c>
      <c r="F266" s="105">
        <v>46251</v>
      </c>
      <c r="I266" s="118" t="s">
        <v>294</v>
      </c>
      <c r="J266" s="105">
        <v>46255</v>
      </c>
    </row>
    <row r="267" spans="1:10" x14ac:dyDescent="0.25">
      <c r="A267" s="118" t="s">
        <v>295</v>
      </c>
      <c r="B267" s="122">
        <v>46263</v>
      </c>
      <c r="E267" s="118" t="s">
        <v>295</v>
      </c>
      <c r="F267" s="122">
        <v>46260</v>
      </c>
      <c r="I267" s="118" t="s">
        <v>295</v>
      </c>
      <c r="J267" s="122">
        <v>46257</v>
      </c>
    </row>
    <row r="268" spans="1:10" x14ac:dyDescent="0.25">
      <c r="A268" s="118" t="s">
        <v>296</v>
      </c>
      <c r="B268" s="105">
        <v>46286</v>
      </c>
      <c r="E268" s="118" t="s">
        <v>296</v>
      </c>
      <c r="F268" s="105">
        <v>46260</v>
      </c>
      <c r="I268" s="118" t="s">
        <v>296</v>
      </c>
      <c r="J268" s="105">
        <v>46260</v>
      </c>
    </row>
    <row r="269" spans="1:10" x14ac:dyDescent="0.25">
      <c r="A269" s="118" t="s">
        <v>297</v>
      </c>
      <c r="B269" s="105">
        <v>46282</v>
      </c>
      <c r="E269" s="118" t="s">
        <v>297</v>
      </c>
      <c r="F269" s="105">
        <v>46254</v>
      </c>
      <c r="I269" s="118" t="s">
        <v>297</v>
      </c>
      <c r="J269" s="105">
        <v>46261</v>
      </c>
    </row>
    <row r="270" spans="1:10" x14ac:dyDescent="0.25">
      <c r="A270" s="118" t="s">
        <v>298</v>
      </c>
      <c r="B270" s="105">
        <v>46288</v>
      </c>
      <c r="E270" s="118" t="s">
        <v>298</v>
      </c>
      <c r="F270" s="105">
        <v>46266</v>
      </c>
      <c r="I270" s="118" t="s">
        <v>298</v>
      </c>
      <c r="J270" s="105">
        <v>46272</v>
      </c>
    </row>
    <row r="271" spans="1:10" x14ac:dyDescent="0.25">
      <c r="A271" s="118" t="s">
        <v>299</v>
      </c>
      <c r="B271" s="105">
        <v>46288</v>
      </c>
      <c r="E271" s="118" t="s">
        <v>299</v>
      </c>
      <c r="F271" s="105">
        <v>46266</v>
      </c>
      <c r="I271" s="118" t="s">
        <v>299</v>
      </c>
      <c r="J271" s="105">
        <v>46272</v>
      </c>
    </row>
    <row r="272" spans="1:10" x14ac:dyDescent="0.25">
      <c r="A272" s="118" t="s">
        <v>300</v>
      </c>
      <c r="B272" s="105">
        <v>46286</v>
      </c>
      <c r="E272" s="118" t="s">
        <v>300</v>
      </c>
      <c r="F272" s="105">
        <v>46260</v>
      </c>
      <c r="I272" s="118" t="s">
        <v>300</v>
      </c>
      <c r="J272" s="105">
        <v>46260</v>
      </c>
    </row>
    <row r="273" spans="1:10" x14ac:dyDescent="0.25">
      <c r="A273" s="118" t="s">
        <v>301</v>
      </c>
      <c r="B273" s="105">
        <v>46286</v>
      </c>
      <c r="E273" s="118" t="s">
        <v>301</v>
      </c>
      <c r="F273" s="105">
        <v>46279</v>
      </c>
      <c r="I273" s="118" t="s">
        <v>301</v>
      </c>
      <c r="J273" s="105">
        <v>46281</v>
      </c>
    </row>
    <row r="274" spans="1:10" x14ac:dyDescent="0.25">
      <c r="A274" s="118" t="s">
        <v>801</v>
      </c>
      <c r="B274" s="121">
        <f>IF(OR(B273="",B272=""),"",B273-B272)</f>
        <v>0</v>
      </c>
      <c r="E274" s="118" t="s">
        <v>801</v>
      </c>
      <c r="F274" s="121">
        <f>IF(OR(F273="",F272=""),"",F273-F272)</f>
        <v>19</v>
      </c>
      <c r="I274" s="118" t="s">
        <v>801</v>
      </c>
      <c r="J274" s="121">
        <f>IF(OR(J273="",J272=""),"",J273-J272)</f>
        <v>21</v>
      </c>
    </row>
    <row r="275" spans="1:10" x14ac:dyDescent="0.25">
      <c r="A275" s="118" t="s">
        <v>303</v>
      </c>
      <c r="B275" s="103" t="s">
        <v>645</v>
      </c>
      <c r="E275" s="118" t="s">
        <v>303</v>
      </c>
      <c r="F275" s="103" t="s">
        <v>651</v>
      </c>
      <c r="I275" s="118" t="s">
        <v>303</v>
      </c>
      <c r="J275" s="103" t="s">
        <v>659</v>
      </c>
    </row>
    <row r="276" spans="1:10" x14ac:dyDescent="0.25">
      <c r="A276" s="118" t="s">
        <v>311</v>
      </c>
      <c r="B276" s="122">
        <v>46288</v>
      </c>
      <c r="E276" s="118" t="s">
        <v>311</v>
      </c>
      <c r="F276" s="122">
        <v>46285</v>
      </c>
      <c r="I276" s="118" t="s">
        <v>311</v>
      </c>
      <c r="J276" s="122">
        <v>46282</v>
      </c>
    </row>
    <row r="277" spans="1:10" x14ac:dyDescent="0.25">
      <c r="A277" s="123" t="s">
        <v>803</v>
      </c>
      <c r="B277" s="124">
        <f>IF(OR(B268="",B266=""),"",B268-B266)</f>
        <v>23</v>
      </c>
      <c r="E277" s="123" t="s">
        <v>803</v>
      </c>
      <c r="F277" s="124">
        <f>IF(OR(F268="",F266=""),"",F268-F266)</f>
        <v>9</v>
      </c>
      <c r="I277" s="123" t="s">
        <v>803</v>
      </c>
      <c r="J277" s="124">
        <f>IF(OR(J268="",J266=""),"",J268-J266)</f>
        <v>5</v>
      </c>
    </row>
    <row r="278" spans="1:10" x14ac:dyDescent="0.25">
      <c r="A278" s="118" t="s">
        <v>804</v>
      </c>
      <c r="B278" s="125">
        <f>IF(OR(B265="",B266=""),"",B265-B266)</f>
        <v>-3</v>
      </c>
      <c r="E278" s="118" t="s">
        <v>804</v>
      </c>
      <c r="F278" s="125">
        <f>IF(OR(F265="",F266=""),"",F265-F266)</f>
        <v>-11</v>
      </c>
      <c r="I278" s="118" t="s">
        <v>804</v>
      </c>
      <c r="J278" s="125">
        <f>IF(OR(J265="",J266=""),"",J265-J266)</f>
        <v>-15</v>
      </c>
    </row>
    <row r="279" spans="1:10" x14ac:dyDescent="0.25">
      <c r="A279" s="123" t="s">
        <v>805</v>
      </c>
      <c r="B279" s="126"/>
      <c r="E279" s="123" t="s">
        <v>805</v>
      </c>
      <c r="F279" s="126"/>
      <c r="I279" s="123" t="s">
        <v>805</v>
      </c>
      <c r="J279" s="126"/>
    </row>
    <row r="280" spans="1:10" x14ac:dyDescent="0.25">
      <c r="A280" s="123" t="s">
        <v>806</v>
      </c>
      <c r="B280" s="127">
        <v>86.56301886792453</v>
      </c>
      <c r="E280" s="123" t="s">
        <v>806</v>
      </c>
      <c r="F280" s="127">
        <v>973.668679245283</v>
      </c>
      <c r="I280" s="123" t="s">
        <v>806</v>
      </c>
      <c r="J280" s="127">
        <v>173.0879245283019</v>
      </c>
    </row>
    <row r="281" spans="1:10" x14ac:dyDescent="0.25">
      <c r="A281" s="123" t="s">
        <v>307</v>
      </c>
      <c r="B281" s="128" t="s">
        <v>126</v>
      </c>
      <c r="E281" s="123" t="s">
        <v>307</v>
      </c>
      <c r="F281" s="128" t="s">
        <v>130</v>
      </c>
      <c r="I281" s="123" t="s">
        <v>307</v>
      </c>
      <c r="J281" s="128" t="s">
        <v>134</v>
      </c>
    </row>
    <row r="282" spans="1:10" x14ac:dyDescent="0.25">
      <c r="A282" s="123" t="s">
        <v>807</v>
      </c>
      <c r="B282" s="129">
        <v>0</v>
      </c>
      <c r="E282" s="123" t="s">
        <v>807</v>
      </c>
      <c r="F282" s="129">
        <v>0</v>
      </c>
      <c r="I282" s="123" t="s">
        <v>807</v>
      </c>
      <c r="J282" s="129">
        <v>0</v>
      </c>
    </row>
    <row r="283" spans="1:10" x14ac:dyDescent="0.25">
      <c r="A283" s="123" t="s">
        <v>808</v>
      </c>
      <c r="B283" s="128">
        <v>0</v>
      </c>
      <c r="E283" s="123" t="s">
        <v>808</v>
      </c>
      <c r="F283" s="128">
        <v>0</v>
      </c>
      <c r="I283" s="123" t="s">
        <v>808</v>
      </c>
      <c r="J283" s="128">
        <v>0</v>
      </c>
    </row>
    <row r="284" spans="1:10" x14ac:dyDescent="0.25">
      <c r="A284" s="123" t="s">
        <v>809</v>
      </c>
      <c r="B284" s="128">
        <f>SUM(B279:B280)</f>
        <v>86.563</v>
      </c>
      <c r="E284" s="123" t="s">
        <v>809</v>
      </c>
      <c r="F284" s="128">
        <f>SUM(F279:F280)</f>
        <v>973.6687</v>
      </c>
      <c r="I284" s="123" t="s">
        <v>809</v>
      </c>
      <c r="J284" s="128">
        <f>SUM(J279:J280)</f>
        <v>173.0879</v>
      </c>
    </row>
    <row r="287" spans="1:10" x14ac:dyDescent="0.25">
      <c r="A287" s="118" t="s">
        <v>795</v>
      </c>
      <c r="B287" s="119" t="s">
        <v>841</v>
      </c>
      <c r="E287" s="118" t="s">
        <v>795</v>
      </c>
      <c r="F287" s="119" t="s">
        <v>842</v>
      </c>
      <c r="I287" s="118" t="s">
        <v>795</v>
      </c>
      <c r="J287" s="119" t="s">
        <v>843</v>
      </c>
    </row>
    <row r="288" spans="1:10" x14ac:dyDescent="0.25">
      <c r="A288" s="118" t="s">
        <v>799</v>
      </c>
      <c r="B288" s="103" t="s">
        <v>136</v>
      </c>
      <c r="E288" s="118" t="s">
        <v>799</v>
      </c>
      <c r="F288" s="103">
        <v>272272022</v>
      </c>
      <c r="I288" s="118" t="s">
        <v>799</v>
      </c>
      <c r="J288" s="103" t="s">
        <v>143</v>
      </c>
    </row>
    <row r="289" spans="1:10" x14ac:dyDescent="0.25">
      <c r="A289" s="118" t="s">
        <v>282</v>
      </c>
      <c r="B289" s="120" t="s">
        <v>312</v>
      </c>
      <c r="E289" s="118" t="s">
        <v>282</v>
      </c>
      <c r="F289" s="120" t="s">
        <v>312</v>
      </c>
      <c r="I289" s="118" t="s">
        <v>282</v>
      </c>
      <c r="J289" s="120" t="s">
        <v>312</v>
      </c>
    </row>
    <row r="290" spans="1:10" x14ac:dyDescent="0.25">
      <c r="A290" s="118" t="s">
        <v>288</v>
      </c>
      <c r="B290" s="121" t="s">
        <v>486</v>
      </c>
      <c r="E290" s="118" t="s">
        <v>288</v>
      </c>
      <c r="F290" s="121" t="s">
        <v>411</v>
      </c>
      <c r="I290" s="118" t="s">
        <v>288</v>
      </c>
      <c r="J290" s="121" t="s">
        <v>459</v>
      </c>
    </row>
    <row r="291" spans="1:10" x14ac:dyDescent="0.25">
      <c r="A291" s="118" t="s">
        <v>800</v>
      </c>
      <c r="B291" s="105">
        <v>46240</v>
      </c>
      <c r="E291" s="118" t="s">
        <v>800</v>
      </c>
      <c r="F291" s="105">
        <v>46218</v>
      </c>
      <c r="I291" s="118" t="s">
        <v>800</v>
      </c>
      <c r="J291" s="105">
        <v>46240</v>
      </c>
    </row>
    <row r="292" spans="1:10" x14ac:dyDescent="0.25">
      <c r="A292" s="118" t="s">
        <v>294</v>
      </c>
      <c r="B292" s="105">
        <v>46260</v>
      </c>
      <c r="E292" s="118" t="s">
        <v>294</v>
      </c>
      <c r="F292" s="105">
        <v>46265</v>
      </c>
      <c r="I292" s="118" t="s">
        <v>294</v>
      </c>
      <c r="J292" s="105">
        <v>46251</v>
      </c>
    </row>
    <row r="293" spans="1:10" x14ac:dyDescent="0.25">
      <c r="A293" s="118" t="s">
        <v>295</v>
      </c>
      <c r="B293" s="122">
        <v>46260</v>
      </c>
      <c r="E293" s="118" t="s">
        <v>295</v>
      </c>
      <c r="F293" s="122">
        <v>46266</v>
      </c>
      <c r="I293" s="118" t="s">
        <v>295</v>
      </c>
      <c r="J293" s="122">
        <v>46252</v>
      </c>
    </row>
    <row r="294" spans="1:10" x14ac:dyDescent="0.25">
      <c r="A294" s="118" t="s">
        <v>296</v>
      </c>
      <c r="B294" s="105">
        <v>46269</v>
      </c>
      <c r="E294" s="118" t="s">
        <v>296</v>
      </c>
      <c r="F294" s="105">
        <v>46268</v>
      </c>
      <c r="I294" s="118" t="s">
        <v>296</v>
      </c>
      <c r="J294" s="105">
        <v>46260</v>
      </c>
    </row>
    <row r="295" spans="1:10" x14ac:dyDescent="0.25">
      <c r="A295" s="118" t="s">
        <v>297</v>
      </c>
      <c r="B295" s="105">
        <v>46267</v>
      </c>
      <c r="E295" s="118" t="s">
        <v>297</v>
      </c>
      <c r="F295" s="105">
        <v>46275</v>
      </c>
      <c r="I295" s="118" t="s">
        <v>297</v>
      </c>
      <c r="J295" s="105">
        <v>46252</v>
      </c>
    </row>
    <row r="296" spans="1:10" x14ac:dyDescent="0.25">
      <c r="A296" s="118" t="s">
        <v>298</v>
      </c>
      <c r="B296" s="105">
        <v>46272</v>
      </c>
      <c r="E296" s="118" t="s">
        <v>298</v>
      </c>
      <c r="F296" s="105">
        <v>46279</v>
      </c>
      <c r="I296" s="118" t="s">
        <v>298</v>
      </c>
      <c r="J296" s="105">
        <v>46260</v>
      </c>
    </row>
    <row r="297" spans="1:10" x14ac:dyDescent="0.25">
      <c r="A297" s="118" t="s">
        <v>299</v>
      </c>
      <c r="B297" s="105">
        <v>46272</v>
      </c>
      <c r="E297" s="118" t="s">
        <v>299</v>
      </c>
      <c r="F297" s="105">
        <v>46280</v>
      </c>
      <c r="I297" s="118" t="s">
        <v>299</v>
      </c>
      <c r="J297" s="105">
        <v>46260</v>
      </c>
    </row>
    <row r="298" spans="1:10" x14ac:dyDescent="0.25">
      <c r="A298" s="118" t="s">
        <v>300</v>
      </c>
      <c r="B298" s="105">
        <v>46269</v>
      </c>
      <c r="E298" s="118" t="s">
        <v>300</v>
      </c>
      <c r="F298" s="105">
        <v>46275</v>
      </c>
      <c r="I298" s="118" t="s">
        <v>300</v>
      </c>
      <c r="J298" s="105">
        <v>46260</v>
      </c>
    </row>
    <row r="299" spans="1:10" x14ac:dyDescent="0.25">
      <c r="A299" s="118" t="s">
        <v>301</v>
      </c>
      <c r="B299" s="105">
        <v>46286</v>
      </c>
      <c r="E299" s="118" t="s">
        <v>301</v>
      </c>
      <c r="F299" s="105">
        <v>46288</v>
      </c>
      <c r="I299" s="118" t="s">
        <v>301</v>
      </c>
      <c r="J299" s="105">
        <v>46279</v>
      </c>
    </row>
    <row r="300" spans="1:10" x14ac:dyDescent="0.25">
      <c r="A300" s="118" t="s">
        <v>801</v>
      </c>
      <c r="B300" s="121">
        <f>IF(OR(B299="",B298=""),"",B299-B298)</f>
        <v>17</v>
      </c>
      <c r="E300" s="118" t="s">
        <v>801</v>
      </c>
      <c r="F300" s="121">
        <f>IF(OR(F299="",F298=""),"",F299-F298)</f>
        <v>13</v>
      </c>
      <c r="I300" s="118" t="s">
        <v>801</v>
      </c>
      <c r="J300" s="121">
        <f>IF(OR(J299="",J298=""),"",J299-J298)</f>
        <v>19</v>
      </c>
    </row>
    <row r="301" spans="1:10" x14ac:dyDescent="0.25">
      <c r="A301" s="118" t="s">
        <v>303</v>
      </c>
      <c r="B301" s="103" t="s">
        <v>666</v>
      </c>
      <c r="E301" s="118" t="s">
        <v>303</v>
      </c>
      <c r="F301" s="103" t="s">
        <v>672</v>
      </c>
      <c r="I301" s="118" t="s">
        <v>303</v>
      </c>
      <c r="J301" s="103" t="s">
        <v>676</v>
      </c>
    </row>
    <row r="302" spans="1:10" x14ac:dyDescent="0.25">
      <c r="A302" s="118" t="s">
        <v>311</v>
      </c>
      <c r="B302" s="122">
        <v>46290</v>
      </c>
      <c r="E302" s="118" t="s">
        <v>311</v>
      </c>
      <c r="F302" s="122">
        <v>46290</v>
      </c>
      <c r="I302" s="118" t="s">
        <v>311</v>
      </c>
      <c r="J302" s="122">
        <v>46285</v>
      </c>
    </row>
    <row r="303" spans="1:10" x14ac:dyDescent="0.25">
      <c r="A303" s="123" t="s">
        <v>803</v>
      </c>
      <c r="B303" s="124">
        <f>IF(OR(B294="",B292=""),"",B294-B292)</f>
        <v>9</v>
      </c>
      <c r="E303" s="123" t="s">
        <v>803</v>
      </c>
      <c r="F303" s="124">
        <f>IF(OR(F294="",F292=""),"",F294-F292)</f>
        <v>3</v>
      </c>
      <c r="I303" s="123" t="s">
        <v>803</v>
      </c>
      <c r="J303" s="124">
        <f>IF(OR(J294="",J292=""),"",J294-J292)</f>
        <v>9</v>
      </c>
    </row>
    <row r="304" spans="1:10" x14ac:dyDescent="0.25">
      <c r="A304" s="118" t="s">
        <v>804</v>
      </c>
      <c r="B304" s="125">
        <f>IF(OR(B291="",B292=""),"",B291-B292)</f>
        <v>-20</v>
      </c>
      <c r="E304" s="118" t="s">
        <v>804</v>
      </c>
      <c r="F304" s="125">
        <f>IF(OR(F291="",F292=""),"",F291-F292)</f>
        <v>-47</v>
      </c>
      <c r="I304" s="118" t="s">
        <v>804</v>
      </c>
      <c r="J304" s="125">
        <f>IF(OR(J291="",J292=""),"",J291-J292)</f>
        <v>-11</v>
      </c>
    </row>
    <row r="305" spans="1:10" x14ac:dyDescent="0.25">
      <c r="A305" s="123" t="s">
        <v>805</v>
      </c>
      <c r="B305" s="126">
        <v>190</v>
      </c>
      <c r="E305" s="123" t="s">
        <v>805</v>
      </c>
      <c r="F305" s="126">
        <v>790</v>
      </c>
      <c r="I305" s="123" t="s">
        <v>805</v>
      </c>
      <c r="J305" s="126"/>
    </row>
    <row r="306" spans="1:10" x14ac:dyDescent="0.25">
      <c r="A306" s="123" t="s">
        <v>806</v>
      </c>
      <c r="B306" s="127">
        <v>216.72415094339624</v>
      </c>
      <c r="E306" s="123" t="s">
        <v>806</v>
      </c>
      <c r="F306" s="127">
        <v>108.3622641509434</v>
      </c>
      <c r="I306" s="123" t="s">
        <v>806</v>
      </c>
      <c r="J306" s="127">
        <v>281.2747169811321</v>
      </c>
    </row>
    <row r="307" spans="1:10" x14ac:dyDescent="0.25">
      <c r="A307" s="123" t="s">
        <v>307</v>
      </c>
      <c r="B307" s="128" t="s">
        <v>138</v>
      </c>
      <c r="E307" s="123" t="s">
        <v>307</v>
      </c>
      <c r="F307" s="128" t="s">
        <v>141</v>
      </c>
      <c r="I307" s="123" t="s">
        <v>307</v>
      </c>
      <c r="J307" s="128" t="s">
        <v>145</v>
      </c>
    </row>
    <row r="308" spans="1:10" x14ac:dyDescent="0.25">
      <c r="A308" s="123" t="s">
        <v>807</v>
      </c>
      <c r="B308" s="129">
        <v>0</v>
      </c>
      <c r="E308" s="123" t="s">
        <v>807</v>
      </c>
      <c r="F308" s="129">
        <v>0</v>
      </c>
      <c r="I308" s="123" t="s">
        <v>807</v>
      </c>
      <c r="J308" s="129">
        <v>0</v>
      </c>
    </row>
    <row r="309" spans="1:10" x14ac:dyDescent="0.25">
      <c r="A309" s="123" t="s">
        <v>808</v>
      </c>
      <c r="B309" s="128">
        <v>0</v>
      </c>
      <c r="E309" s="123" t="s">
        <v>808</v>
      </c>
      <c r="F309" s="128">
        <v>0</v>
      </c>
      <c r="I309" s="123" t="s">
        <v>808</v>
      </c>
      <c r="J309" s="128">
        <v>0</v>
      </c>
    </row>
    <row r="310" spans="1:10" x14ac:dyDescent="0.25">
      <c r="A310" s="123" t="s">
        <v>809</v>
      </c>
      <c r="B310" s="128">
        <f>SUM(B305:B306)</f>
        <v>406.7242</v>
      </c>
      <c r="E310" s="123" t="s">
        <v>809</v>
      </c>
      <c r="F310" s="128">
        <f>SUM(F305:F306)</f>
        <v>898.3623</v>
      </c>
      <c r="I310" s="123" t="s">
        <v>809</v>
      </c>
      <c r="J310" s="128">
        <f>SUM(J305:J306)</f>
        <v>281.2747</v>
      </c>
    </row>
    <row r="313" spans="1:10" x14ac:dyDescent="0.25">
      <c r="A313" s="118" t="s">
        <v>795</v>
      </c>
      <c r="B313" s="119" t="s">
        <v>844</v>
      </c>
      <c r="E313" s="118" t="s">
        <v>795</v>
      </c>
      <c r="F313" s="119" t="s">
        <v>845</v>
      </c>
      <c r="I313" s="118" t="s">
        <v>795</v>
      </c>
      <c r="J313" s="119" t="s">
        <v>846</v>
      </c>
    </row>
    <row r="314" spans="1:10" x14ac:dyDescent="0.25">
      <c r="A314" s="118" t="s">
        <v>799</v>
      </c>
      <c r="B314" s="103" t="s">
        <v>147</v>
      </c>
      <c r="E314" s="118" t="s">
        <v>799</v>
      </c>
      <c r="F314" s="103" t="s">
        <v>681</v>
      </c>
      <c r="I314" s="118" t="s">
        <v>799</v>
      </c>
      <c r="J314" s="103" t="s">
        <v>154</v>
      </c>
    </row>
    <row r="315" spans="1:10" x14ac:dyDescent="0.25">
      <c r="A315" s="118" t="s">
        <v>282</v>
      </c>
      <c r="B315" s="120" t="s">
        <v>312</v>
      </c>
      <c r="E315" s="118" t="s">
        <v>282</v>
      </c>
      <c r="F315" s="120" t="s">
        <v>312</v>
      </c>
      <c r="I315" s="118" t="s">
        <v>282</v>
      </c>
      <c r="J315" s="120" t="s">
        <v>312</v>
      </c>
    </row>
    <row r="316" spans="1:10" x14ac:dyDescent="0.25">
      <c r="A316" s="118" t="s">
        <v>288</v>
      </c>
      <c r="B316" s="121" t="s">
        <v>555</v>
      </c>
      <c r="E316" s="118" t="s">
        <v>288</v>
      </c>
      <c r="F316" s="121" t="s">
        <v>318</v>
      </c>
      <c r="I316" s="118" t="s">
        <v>288</v>
      </c>
      <c r="J316" s="121" t="s">
        <v>361</v>
      </c>
    </row>
    <row r="317" spans="1:10" x14ac:dyDescent="0.25">
      <c r="A317" s="118" t="s">
        <v>800</v>
      </c>
      <c r="B317" s="105">
        <v>46231</v>
      </c>
      <c r="E317" s="118" t="s">
        <v>800</v>
      </c>
      <c r="F317" s="105">
        <v>46211</v>
      </c>
      <c r="I317" s="118" t="s">
        <v>800</v>
      </c>
      <c r="J317" s="105">
        <v>46248</v>
      </c>
    </row>
    <row r="318" spans="1:10" x14ac:dyDescent="0.25">
      <c r="A318" s="118" t="s">
        <v>294</v>
      </c>
      <c r="B318" s="105">
        <v>46238</v>
      </c>
      <c r="E318" s="118" t="s">
        <v>294</v>
      </c>
      <c r="F318" s="105">
        <v>46264</v>
      </c>
      <c r="I318" s="118" t="s">
        <v>294</v>
      </c>
      <c r="J318" s="105">
        <v>46255</v>
      </c>
    </row>
    <row r="319" spans="1:10" x14ac:dyDescent="0.25">
      <c r="A319" s="118" t="s">
        <v>295</v>
      </c>
      <c r="B319" s="122">
        <v>46239</v>
      </c>
      <c r="E319" s="118" t="s">
        <v>295</v>
      </c>
      <c r="F319" s="122">
        <v>46268</v>
      </c>
      <c r="I319" s="118" t="s">
        <v>295</v>
      </c>
      <c r="J319" s="122">
        <v>46256</v>
      </c>
    </row>
    <row r="320" spans="1:10" x14ac:dyDescent="0.25">
      <c r="A320" s="118" t="s">
        <v>296</v>
      </c>
      <c r="B320" s="105">
        <v>46248</v>
      </c>
      <c r="E320" s="118" t="s">
        <v>296</v>
      </c>
      <c r="F320" s="105">
        <v>46286</v>
      </c>
      <c r="I320" s="118" t="s">
        <v>296</v>
      </c>
      <c r="J320" s="105">
        <v>46256</v>
      </c>
    </row>
    <row r="321" spans="1:10" x14ac:dyDescent="0.25">
      <c r="A321" s="118" t="s">
        <v>297</v>
      </c>
      <c r="B321" s="105">
        <v>46244</v>
      </c>
      <c r="E321" s="118" t="s">
        <v>297</v>
      </c>
      <c r="F321" s="105">
        <v>46270</v>
      </c>
      <c r="I321" s="118" t="s">
        <v>297</v>
      </c>
      <c r="J321" s="105">
        <v>46255</v>
      </c>
    </row>
    <row r="322" spans="1:10" x14ac:dyDescent="0.25">
      <c r="A322" s="118" t="s">
        <v>298</v>
      </c>
      <c r="B322" s="105">
        <v>46254</v>
      </c>
      <c r="E322" s="118" t="s">
        <v>298</v>
      </c>
      <c r="F322" s="105">
        <v>46283</v>
      </c>
      <c r="I322" s="118" t="s">
        <v>298</v>
      </c>
      <c r="J322" s="105">
        <v>46258</v>
      </c>
    </row>
    <row r="323" spans="1:10" x14ac:dyDescent="0.25">
      <c r="A323" s="118" t="s">
        <v>299</v>
      </c>
      <c r="B323" s="105">
        <v>46254</v>
      </c>
      <c r="E323" s="118" t="s">
        <v>299</v>
      </c>
      <c r="F323" s="105"/>
      <c r="I323" s="118" t="s">
        <v>299</v>
      </c>
      <c r="J323" s="105">
        <v>46258</v>
      </c>
    </row>
    <row r="324" spans="1:10" x14ac:dyDescent="0.25">
      <c r="A324" s="118" t="s">
        <v>300</v>
      </c>
      <c r="B324" s="105">
        <v>46248</v>
      </c>
      <c r="E324" s="118" t="s">
        <v>300</v>
      </c>
      <c r="F324" s="105">
        <v>46286</v>
      </c>
      <c r="I324" s="118" t="s">
        <v>300</v>
      </c>
      <c r="J324" s="105">
        <v>46256</v>
      </c>
    </row>
    <row r="325" spans="1:10" x14ac:dyDescent="0.25">
      <c r="A325" s="118" t="s">
        <v>301</v>
      </c>
      <c r="B325" s="105">
        <v>46279</v>
      </c>
      <c r="E325" s="118" t="s">
        <v>301</v>
      </c>
      <c r="F325" s="105">
        <v>46287</v>
      </c>
      <c r="I325" s="118" t="s">
        <v>301</v>
      </c>
      <c r="J325" s="105">
        <v>46286</v>
      </c>
    </row>
    <row r="326" spans="1:10" x14ac:dyDescent="0.25">
      <c r="A326" s="118" t="s">
        <v>801</v>
      </c>
      <c r="B326" s="121">
        <f>IF(OR(B325="",B324=""),"",B325-B324)</f>
        <v>31</v>
      </c>
      <c r="E326" s="118" t="s">
        <v>801</v>
      </c>
      <c r="F326" s="121">
        <f>IF(OR(F325="",F324=""),"",F325-F324)</f>
        <v>1</v>
      </c>
      <c r="I326" s="118" t="s">
        <v>801</v>
      </c>
      <c r="J326" s="121">
        <f>IF(OR(J325="",J324=""),"",J325-J324)</f>
        <v>30</v>
      </c>
    </row>
    <row r="327" spans="1:10" x14ac:dyDescent="0.25">
      <c r="A327" s="118" t="s">
        <v>303</v>
      </c>
      <c r="B327" s="103" t="s">
        <v>680</v>
      </c>
      <c r="E327" s="118" t="s">
        <v>303</v>
      </c>
      <c r="F327" s="103" t="s">
        <v>687</v>
      </c>
      <c r="I327" s="118" t="s">
        <v>303</v>
      </c>
      <c r="J327" s="103" t="s">
        <v>692</v>
      </c>
    </row>
    <row r="328" spans="1:10" x14ac:dyDescent="0.25">
      <c r="A328" s="118" t="s">
        <v>311</v>
      </c>
      <c r="B328" s="122">
        <v>46283</v>
      </c>
      <c r="E328" s="118" t="s">
        <v>311</v>
      </c>
      <c r="F328" s="122">
        <v>46288</v>
      </c>
      <c r="I328" s="118" t="s">
        <v>311</v>
      </c>
      <c r="J328" s="122">
        <v>46287</v>
      </c>
    </row>
    <row r="329" spans="1:10" x14ac:dyDescent="0.25">
      <c r="A329" s="123" t="s">
        <v>803</v>
      </c>
      <c r="B329" s="124">
        <f>IF(OR(B320="",B318=""),"",B320-B318)</f>
        <v>10</v>
      </c>
      <c r="E329" s="123" t="s">
        <v>803</v>
      </c>
      <c r="F329" s="124">
        <f>IF(OR(F320="",F318=""),"",F320-F318)</f>
        <v>22</v>
      </c>
      <c r="I329" s="123" t="s">
        <v>803</v>
      </c>
      <c r="J329" s="124">
        <f>IF(OR(J320="",J318=""),"",J320-J318)</f>
        <v>1</v>
      </c>
    </row>
    <row r="330" spans="1:10" x14ac:dyDescent="0.25">
      <c r="A330" s="118" t="s">
        <v>804</v>
      </c>
      <c r="B330" s="125">
        <f>IF(OR(B317="",B318=""),"",B317-B318)</f>
        <v>-7</v>
      </c>
      <c r="E330" s="118" t="s">
        <v>804</v>
      </c>
      <c r="F330" s="125">
        <f>IF(OR(F317="",F318=""),"",F317-F318)</f>
        <v>-53</v>
      </c>
      <c r="I330" s="118" t="s">
        <v>804</v>
      </c>
      <c r="J330" s="125">
        <f>IF(OR(J317="",J318=""),"",J317-J318)</f>
        <v>-7</v>
      </c>
    </row>
    <row r="331" spans="1:10" x14ac:dyDescent="0.25">
      <c r="A331" s="123" t="s">
        <v>805</v>
      </c>
      <c r="B331" s="126">
        <v>1430</v>
      </c>
      <c r="E331" s="123" t="s">
        <v>805</v>
      </c>
      <c r="F331" s="126">
        <v>390</v>
      </c>
      <c r="I331" s="123" t="s">
        <v>805</v>
      </c>
      <c r="J331" s="126">
        <v>460.2</v>
      </c>
    </row>
    <row r="332" spans="1:10" x14ac:dyDescent="0.25">
      <c r="A332" s="123" t="s">
        <v>806</v>
      </c>
      <c r="B332" s="127">
        <v>491.54716981132077</v>
      </c>
      <c r="E332" s="123" t="s">
        <v>806</v>
      </c>
      <c r="F332" s="127">
        <v>78.14716981132075</v>
      </c>
      <c r="I332" s="123" t="s">
        <v>806</v>
      </c>
      <c r="J332" s="127">
        <v>279.87283018867925</v>
      </c>
    </row>
    <row r="333" spans="1:10" x14ac:dyDescent="0.25">
      <c r="A333" s="123" t="s">
        <v>307</v>
      </c>
      <c r="B333" s="128" t="s">
        <v>149</v>
      </c>
      <c r="E333" s="123" t="s">
        <v>307</v>
      </c>
      <c r="F333" s="128" t="s">
        <v>152</v>
      </c>
      <c r="I333" s="123" t="s">
        <v>307</v>
      </c>
      <c r="J333" s="128" t="s">
        <v>20</v>
      </c>
    </row>
    <row r="334" spans="1:10" x14ac:dyDescent="0.25">
      <c r="A334" s="123" t="s">
        <v>807</v>
      </c>
      <c r="B334" s="129">
        <v>0</v>
      </c>
      <c r="E334" s="123" t="s">
        <v>807</v>
      </c>
      <c r="F334" s="129">
        <v>0</v>
      </c>
      <c r="I334" s="123" t="s">
        <v>807</v>
      </c>
      <c r="J334" s="129">
        <v>0</v>
      </c>
    </row>
    <row r="335" spans="1:10" x14ac:dyDescent="0.25">
      <c r="A335" s="123" t="s">
        <v>808</v>
      </c>
      <c r="B335" s="128">
        <v>0</v>
      </c>
      <c r="E335" s="123" t="s">
        <v>808</v>
      </c>
      <c r="F335" s="128">
        <v>0</v>
      </c>
      <c r="I335" s="123" t="s">
        <v>808</v>
      </c>
      <c r="J335" s="128">
        <v>0</v>
      </c>
    </row>
    <row r="336" spans="1:10" x14ac:dyDescent="0.25">
      <c r="A336" s="123" t="s">
        <v>809</v>
      </c>
      <c r="B336" s="128">
        <f>SUM(B331:B332)</f>
        <v>1921.5472</v>
      </c>
      <c r="E336" s="123" t="s">
        <v>809</v>
      </c>
      <c r="F336" s="128">
        <f>SUM(F331:F332)</f>
        <v>468.1472</v>
      </c>
      <c r="I336" s="123" t="s">
        <v>809</v>
      </c>
      <c r="J336" s="128">
        <f>SUM(J331:J332)</f>
        <v>740.0728</v>
      </c>
    </row>
    <row r="339" spans="1:10" x14ac:dyDescent="0.25">
      <c r="A339" s="118" t="s">
        <v>795</v>
      </c>
      <c r="B339" s="119" t="s">
        <v>847</v>
      </c>
      <c r="E339" s="118" t="s">
        <v>795</v>
      </c>
      <c r="F339" s="119" t="s">
        <v>848</v>
      </c>
      <c r="I339" s="118" t="s">
        <v>795</v>
      </c>
      <c r="J339" s="119" t="s">
        <v>849</v>
      </c>
    </row>
    <row r="340" spans="1:10" x14ac:dyDescent="0.25">
      <c r="A340" s="118" t="s">
        <v>799</v>
      </c>
      <c r="B340" s="103" t="s">
        <v>157</v>
      </c>
      <c r="E340" s="118" t="s">
        <v>799</v>
      </c>
      <c r="F340" s="103" t="s">
        <v>161</v>
      </c>
      <c r="I340" s="118" t="s">
        <v>799</v>
      </c>
      <c r="J340" s="103" t="s">
        <v>164</v>
      </c>
    </row>
    <row r="341" spans="1:10" x14ac:dyDescent="0.25">
      <c r="A341" s="118" t="s">
        <v>282</v>
      </c>
      <c r="B341" s="120" t="s">
        <v>312</v>
      </c>
      <c r="E341" s="118" t="s">
        <v>282</v>
      </c>
      <c r="F341" s="120" t="s">
        <v>312</v>
      </c>
      <c r="I341" s="118" t="s">
        <v>282</v>
      </c>
      <c r="J341" s="120" t="s">
        <v>312</v>
      </c>
    </row>
    <row r="342" spans="1:10" x14ac:dyDescent="0.25">
      <c r="A342" s="118" t="s">
        <v>288</v>
      </c>
      <c r="B342" s="121" t="s">
        <v>694</v>
      </c>
      <c r="E342" s="118" t="s">
        <v>288</v>
      </c>
      <c r="F342" s="121" t="s">
        <v>350</v>
      </c>
      <c r="I342" s="118" t="s">
        <v>288</v>
      </c>
      <c r="J342" s="121" t="s">
        <v>706</v>
      </c>
    </row>
    <row r="343" spans="1:10" x14ac:dyDescent="0.25">
      <c r="A343" s="118" t="s">
        <v>800</v>
      </c>
      <c r="B343" s="105">
        <v>46240</v>
      </c>
      <c r="E343" s="118" t="s">
        <v>800</v>
      </c>
      <c r="F343" s="105">
        <v>46240</v>
      </c>
      <c r="I343" s="118" t="s">
        <v>800</v>
      </c>
      <c r="J343" s="105">
        <v>46268</v>
      </c>
    </row>
    <row r="344" spans="1:10" x14ac:dyDescent="0.25">
      <c r="A344" s="118" t="s">
        <v>294</v>
      </c>
      <c r="B344" s="105">
        <v>46258</v>
      </c>
      <c r="E344" s="118" t="s">
        <v>294</v>
      </c>
      <c r="F344" s="105">
        <v>46260</v>
      </c>
      <c r="I344" s="118" t="s">
        <v>294</v>
      </c>
      <c r="J344" s="105">
        <v>46261</v>
      </c>
    </row>
    <row r="345" spans="1:10" x14ac:dyDescent="0.25">
      <c r="A345" s="118" t="s">
        <v>295</v>
      </c>
      <c r="B345" s="122">
        <v>46261</v>
      </c>
      <c r="E345" s="118" t="s">
        <v>295</v>
      </c>
      <c r="F345" s="122">
        <v>46260</v>
      </c>
      <c r="I345" s="118" t="s">
        <v>295</v>
      </c>
      <c r="J345" s="122">
        <v>46263</v>
      </c>
    </row>
    <row r="346" spans="1:10" x14ac:dyDescent="0.25">
      <c r="A346" s="118" t="s">
        <v>296</v>
      </c>
      <c r="B346" s="105">
        <v>46269</v>
      </c>
      <c r="E346" s="118" t="s">
        <v>296</v>
      </c>
      <c r="F346" s="105">
        <v>46274</v>
      </c>
      <c r="I346" s="118" t="s">
        <v>296</v>
      </c>
      <c r="J346" s="105">
        <v>46286</v>
      </c>
    </row>
    <row r="347" spans="1:10" x14ac:dyDescent="0.25">
      <c r="A347" s="118" t="s">
        <v>297</v>
      </c>
      <c r="B347" s="105">
        <v>46263</v>
      </c>
      <c r="E347" s="118" t="s">
        <v>297</v>
      </c>
      <c r="F347" s="105">
        <v>46274</v>
      </c>
      <c r="I347" s="118" t="s">
        <v>297</v>
      </c>
      <c r="J347" s="105">
        <v>46270</v>
      </c>
    </row>
    <row r="348" spans="1:10" x14ac:dyDescent="0.25">
      <c r="A348" s="118" t="s">
        <v>298</v>
      </c>
      <c r="B348" s="105">
        <v>46272</v>
      </c>
      <c r="E348" s="118" t="s">
        <v>298</v>
      </c>
      <c r="F348" s="105">
        <v>46283</v>
      </c>
      <c r="I348" s="118" t="s">
        <v>298</v>
      </c>
      <c r="J348" s="105">
        <v>46283</v>
      </c>
    </row>
    <row r="349" spans="1:10" x14ac:dyDescent="0.25">
      <c r="A349" s="118" t="s">
        <v>299</v>
      </c>
      <c r="B349" s="105">
        <v>46272</v>
      </c>
      <c r="E349" s="118" t="s">
        <v>299</v>
      </c>
      <c r="F349" s="105">
        <v>46283</v>
      </c>
      <c r="I349" s="118" t="s">
        <v>299</v>
      </c>
      <c r="J349" s="105">
        <v>46287</v>
      </c>
    </row>
    <row r="350" spans="1:10" x14ac:dyDescent="0.25">
      <c r="A350" s="118" t="s">
        <v>300</v>
      </c>
      <c r="B350" s="105">
        <v>46269</v>
      </c>
      <c r="E350" s="118" t="s">
        <v>300</v>
      </c>
      <c r="F350" s="105">
        <v>46274</v>
      </c>
      <c r="I350" s="118" t="s">
        <v>300</v>
      </c>
      <c r="J350" s="105">
        <v>46286</v>
      </c>
    </row>
    <row r="351" spans="1:10" x14ac:dyDescent="0.25">
      <c r="A351" s="118" t="s">
        <v>301</v>
      </c>
      <c r="B351" s="105">
        <v>46286</v>
      </c>
      <c r="E351" s="118" t="s">
        <v>301</v>
      </c>
      <c r="F351" s="105">
        <v>46286</v>
      </c>
      <c r="I351" s="118" t="s">
        <v>301</v>
      </c>
      <c r="J351" s="105">
        <v>46286</v>
      </c>
    </row>
    <row r="352" spans="1:10" x14ac:dyDescent="0.25">
      <c r="A352" s="118" t="s">
        <v>801</v>
      </c>
      <c r="B352" s="121">
        <f>IF(OR(B351="",B350=""),"",B351-B350)</f>
        <v>17</v>
      </c>
      <c r="E352" s="118" t="s">
        <v>801</v>
      </c>
      <c r="F352" s="121">
        <f>IF(OR(F351="",F350=""),"",F351-F350)</f>
        <v>12</v>
      </c>
      <c r="I352" s="118" t="s">
        <v>801</v>
      </c>
      <c r="J352" s="121">
        <f>IF(OR(J351="",J350=""),"",J351-J350)</f>
        <v>0</v>
      </c>
    </row>
    <row r="353" spans="1:10" x14ac:dyDescent="0.25">
      <c r="A353" s="118" t="s">
        <v>303</v>
      </c>
      <c r="B353" s="103" t="s">
        <v>696</v>
      </c>
      <c r="E353" s="118" t="s">
        <v>303</v>
      </c>
      <c r="F353" s="103" t="s">
        <v>702</v>
      </c>
      <c r="I353" s="118" t="s">
        <v>303</v>
      </c>
      <c r="J353" s="103" t="s">
        <v>708</v>
      </c>
    </row>
    <row r="354" spans="1:10" x14ac:dyDescent="0.25">
      <c r="A354" s="118" t="s">
        <v>311</v>
      </c>
      <c r="B354" s="122">
        <v>46286</v>
      </c>
      <c r="E354" s="118" t="s">
        <v>311</v>
      </c>
      <c r="F354" s="122">
        <v>46287</v>
      </c>
      <c r="I354" s="118" t="s">
        <v>311</v>
      </c>
      <c r="J354" s="122">
        <v>46287</v>
      </c>
    </row>
    <row r="355" spans="1:10" x14ac:dyDescent="0.25">
      <c r="A355" s="123" t="s">
        <v>803</v>
      </c>
      <c r="B355" s="124">
        <f>IF(OR(B346="",B344=""),"",B346-B344)</f>
        <v>11</v>
      </c>
      <c r="E355" s="123" t="s">
        <v>803</v>
      </c>
      <c r="F355" s="124">
        <f>IF(OR(F346="",F344=""),"",F346-F344)</f>
        <v>14</v>
      </c>
      <c r="I355" s="123" t="s">
        <v>803</v>
      </c>
      <c r="J355" s="124">
        <f>IF(OR(J346="",J344=""),"",J346-J344)</f>
        <v>25</v>
      </c>
    </row>
    <row r="356" spans="1:10" x14ac:dyDescent="0.25">
      <c r="A356" s="118" t="s">
        <v>804</v>
      </c>
      <c r="B356" s="125">
        <f>IF(OR(B343="",B344=""),"",B343-B344)</f>
        <v>-18</v>
      </c>
      <c r="E356" s="118" t="s">
        <v>804</v>
      </c>
      <c r="F356" s="125">
        <f>IF(OR(F343="",F344=""),"",F343-F344)</f>
        <v>-20</v>
      </c>
      <c r="I356" s="118" t="s">
        <v>804</v>
      </c>
      <c r="J356" s="125">
        <f>IF(OR(J343="",J344=""),"",J343-J344)</f>
        <v>7</v>
      </c>
    </row>
    <row r="357" spans="1:10" x14ac:dyDescent="0.25">
      <c r="A357" s="123" t="s">
        <v>805</v>
      </c>
      <c r="B357" s="126"/>
      <c r="E357" s="123" t="s">
        <v>805</v>
      </c>
      <c r="F357" s="126"/>
      <c r="I357" s="123" t="s">
        <v>805</v>
      </c>
      <c r="J357" s="126">
        <v>950</v>
      </c>
    </row>
    <row r="358" spans="1:10" x14ac:dyDescent="0.25">
      <c r="A358" s="123" t="s">
        <v>806</v>
      </c>
      <c r="B358" s="127">
        <v>346.1845283018868</v>
      </c>
      <c r="E358" s="123" t="s">
        <v>806</v>
      </c>
      <c r="F358" s="127">
        <v>136.73094339622642</v>
      </c>
      <c r="I358" s="123" t="s">
        <v>806</v>
      </c>
      <c r="J358" s="127">
        <v>115.01622641509434</v>
      </c>
    </row>
    <row r="359" spans="1:10" x14ac:dyDescent="0.25">
      <c r="A359" s="123" t="s">
        <v>307</v>
      </c>
      <c r="B359" s="128" t="s">
        <v>159</v>
      </c>
      <c r="E359" s="123" t="s">
        <v>307</v>
      </c>
      <c r="F359" s="128" t="s">
        <v>138</v>
      </c>
      <c r="I359" s="123" t="s">
        <v>307</v>
      </c>
      <c r="J359" s="128" t="s">
        <v>166</v>
      </c>
    </row>
    <row r="360" spans="1:10" x14ac:dyDescent="0.25">
      <c r="A360" s="123" t="s">
        <v>807</v>
      </c>
      <c r="B360" s="129">
        <v>0</v>
      </c>
      <c r="E360" s="123" t="s">
        <v>807</v>
      </c>
      <c r="F360" s="129">
        <v>0</v>
      </c>
      <c r="I360" s="123" t="s">
        <v>807</v>
      </c>
      <c r="J360" s="129">
        <v>0</v>
      </c>
    </row>
    <row r="361" spans="1:10" x14ac:dyDescent="0.25">
      <c r="A361" s="123" t="s">
        <v>808</v>
      </c>
      <c r="B361" s="128">
        <v>0</v>
      </c>
      <c r="E361" s="123" t="s">
        <v>808</v>
      </c>
      <c r="F361" s="128">
        <v>0</v>
      </c>
      <c r="I361" s="123" t="s">
        <v>808</v>
      </c>
      <c r="J361" s="128">
        <v>0</v>
      </c>
    </row>
    <row r="362" spans="1:10" x14ac:dyDescent="0.25">
      <c r="A362" s="123" t="s">
        <v>809</v>
      </c>
      <c r="B362" s="128">
        <f>SUM(B357:B358)</f>
        <v>346.1845</v>
      </c>
      <c r="E362" s="123" t="s">
        <v>809</v>
      </c>
      <c r="F362" s="128">
        <f>SUM(F357:F358)</f>
        <v>136.7309</v>
      </c>
      <c r="I362" s="123" t="s">
        <v>809</v>
      </c>
      <c r="J362" s="128">
        <f>SUM(J357:J358)</f>
        <v>1065.0162</v>
      </c>
    </row>
    <row r="365" spans="1:10" x14ac:dyDescent="0.25">
      <c r="A365" s="118" t="s">
        <v>795</v>
      </c>
      <c r="B365" s="119" t="s">
        <v>850</v>
      </c>
      <c r="E365" s="118" t="s">
        <v>795</v>
      </c>
      <c r="F365" s="119" t="s">
        <v>851</v>
      </c>
      <c r="I365" s="118" t="s">
        <v>795</v>
      </c>
      <c r="J365" s="119" t="s">
        <v>852</v>
      </c>
    </row>
    <row r="366" spans="1:10" x14ac:dyDescent="0.25">
      <c r="A366" s="118" t="s">
        <v>799</v>
      </c>
      <c r="B366" s="103" t="s">
        <v>168</v>
      </c>
      <c r="E366" s="118" t="s">
        <v>799</v>
      </c>
      <c r="F366" s="103" t="s">
        <v>172</v>
      </c>
      <c r="I366" s="118" t="s">
        <v>799</v>
      </c>
      <c r="J366" s="103" t="s">
        <v>175</v>
      </c>
    </row>
    <row r="367" spans="1:10" x14ac:dyDescent="0.25">
      <c r="A367" s="118" t="s">
        <v>282</v>
      </c>
      <c r="B367" s="120" t="s">
        <v>312</v>
      </c>
      <c r="E367" s="118" t="s">
        <v>282</v>
      </c>
      <c r="F367" s="120" t="s">
        <v>334</v>
      </c>
      <c r="I367" s="118" t="s">
        <v>282</v>
      </c>
      <c r="J367" s="120" t="s">
        <v>312</v>
      </c>
    </row>
    <row r="368" spans="1:10" x14ac:dyDescent="0.25">
      <c r="A368" s="118" t="s">
        <v>288</v>
      </c>
      <c r="B368" s="121" t="s">
        <v>694</v>
      </c>
      <c r="E368" s="118" t="s">
        <v>288</v>
      </c>
      <c r="F368" s="121" t="s">
        <v>437</v>
      </c>
      <c r="I368" s="118" t="s">
        <v>288</v>
      </c>
      <c r="J368" s="121" t="s">
        <v>459</v>
      </c>
    </row>
    <row r="369" spans="1:10" x14ac:dyDescent="0.25">
      <c r="A369" s="118" t="s">
        <v>800</v>
      </c>
      <c r="B369" s="105">
        <v>46225</v>
      </c>
      <c r="E369" s="118" t="s">
        <v>800</v>
      </c>
      <c r="F369" s="105">
        <v>46240</v>
      </c>
      <c r="I369" s="118" t="s">
        <v>800</v>
      </c>
      <c r="J369" s="105">
        <v>46210</v>
      </c>
    </row>
    <row r="370" spans="1:10" x14ac:dyDescent="0.25">
      <c r="A370" s="118" t="s">
        <v>294</v>
      </c>
      <c r="B370" s="105">
        <v>46237</v>
      </c>
      <c r="E370" s="118" t="s">
        <v>294</v>
      </c>
      <c r="F370" s="105">
        <v>46251</v>
      </c>
      <c r="I370" s="118" t="s">
        <v>294</v>
      </c>
      <c r="J370" s="105">
        <v>46233</v>
      </c>
    </row>
    <row r="371" spans="1:10" x14ac:dyDescent="0.25">
      <c r="A371" s="118" t="s">
        <v>295</v>
      </c>
      <c r="B371" s="122">
        <v>46238</v>
      </c>
      <c r="E371" s="118" t="s">
        <v>295</v>
      </c>
      <c r="F371" s="122">
        <v>46254</v>
      </c>
      <c r="I371" s="118" t="s">
        <v>295</v>
      </c>
      <c r="J371" s="122">
        <v>46236</v>
      </c>
    </row>
    <row r="372" spans="1:10" x14ac:dyDescent="0.25">
      <c r="A372" s="118" t="s">
        <v>296</v>
      </c>
      <c r="B372" s="105">
        <v>46245</v>
      </c>
      <c r="E372" s="118" t="s">
        <v>296</v>
      </c>
      <c r="F372" s="105">
        <v>46258</v>
      </c>
      <c r="I372" s="118" t="s">
        <v>296</v>
      </c>
      <c r="J372" s="105">
        <v>46248</v>
      </c>
    </row>
    <row r="373" spans="1:10" x14ac:dyDescent="0.25">
      <c r="A373" s="118" t="s">
        <v>297</v>
      </c>
      <c r="B373" s="105">
        <v>46246</v>
      </c>
      <c r="E373" s="118" t="s">
        <v>297</v>
      </c>
      <c r="F373" s="105">
        <v>46254</v>
      </c>
      <c r="I373" s="118" t="s">
        <v>297</v>
      </c>
      <c r="J373" s="105">
        <v>46230</v>
      </c>
    </row>
    <row r="374" spans="1:10" x14ac:dyDescent="0.25">
      <c r="A374" s="118" t="s">
        <v>298</v>
      </c>
      <c r="B374" s="105">
        <v>46260</v>
      </c>
      <c r="E374" s="118" t="s">
        <v>298</v>
      </c>
      <c r="F374" s="105">
        <v>46261</v>
      </c>
      <c r="I374" s="118" t="s">
        <v>298</v>
      </c>
      <c r="J374" s="105">
        <v>46252</v>
      </c>
    </row>
    <row r="375" spans="1:10" x14ac:dyDescent="0.25">
      <c r="A375" s="118" t="s">
        <v>299</v>
      </c>
      <c r="B375" s="105">
        <v>46260</v>
      </c>
      <c r="E375" s="118" t="s">
        <v>299</v>
      </c>
      <c r="F375" s="105">
        <v>46262</v>
      </c>
      <c r="I375" s="118" t="s">
        <v>299</v>
      </c>
      <c r="J375" s="105">
        <v>46252</v>
      </c>
    </row>
    <row r="376" spans="1:10" x14ac:dyDescent="0.25">
      <c r="A376" s="118" t="s">
        <v>300</v>
      </c>
      <c r="B376" s="105">
        <v>46245</v>
      </c>
      <c r="E376" s="118" t="s">
        <v>300</v>
      </c>
      <c r="F376" s="105">
        <v>46258</v>
      </c>
      <c r="I376" s="118" t="s">
        <v>300</v>
      </c>
      <c r="J376" s="105">
        <v>46248</v>
      </c>
    </row>
    <row r="377" spans="1:10" x14ac:dyDescent="0.25">
      <c r="A377" s="118" t="s">
        <v>301</v>
      </c>
      <c r="B377" s="105">
        <v>46279</v>
      </c>
      <c r="E377" s="118" t="s">
        <v>301</v>
      </c>
      <c r="F377" s="105">
        <v>46279</v>
      </c>
      <c r="I377" s="118" t="s">
        <v>301</v>
      </c>
      <c r="J377" s="105">
        <v>46275</v>
      </c>
    </row>
    <row r="378" spans="1:10" x14ac:dyDescent="0.25">
      <c r="A378" s="118" t="s">
        <v>801</v>
      </c>
      <c r="B378" s="121">
        <f>IF(OR(B377="",B376=""),"",B377-B376)</f>
        <v>34</v>
      </c>
      <c r="E378" s="118" t="s">
        <v>801</v>
      </c>
      <c r="F378" s="121">
        <f>IF(OR(F377="",F376=""),"",F377-F376)</f>
        <v>21</v>
      </c>
      <c r="I378" s="118" t="s">
        <v>801</v>
      </c>
      <c r="J378" s="121">
        <f>IF(OR(J377="",J376=""),"",J377-J376)</f>
        <v>27</v>
      </c>
    </row>
    <row r="379" spans="1:10" x14ac:dyDescent="0.25">
      <c r="A379" s="118" t="s">
        <v>303</v>
      </c>
      <c r="B379" s="103" t="s">
        <v>713</v>
      </c>
      <c r="E379" s="118" t="s">
        <v>303</v>
      </c>
      <c r="F379" s="103" t="s">
        <v>719</v>
      </c>
      <c r="I379" s="118" t="s">
        <v>303</v>
      </c>
      <c r="J379" s="103" t="s">
        <v>730</v>
      </c>
    </row>
    <row r="380" spans="1:10" x14ac:dyDescent="0.25">
      <c r="A380" s="118" t="s">
        <v>311</v>
      </c>
      <c r="B380" s="122">
        <v>46287</v>
      </c>
      <c r="E380" s="118" t="s">
        <v>311</v>
      </c>
      <c r="F380" s="122">
        <v>46282</v>
      </c>
      <c r="I380" s="118" t="s">
        <v>311</v>
      </c>
      <c r="J380" s="122">
        <v>46277</v>
      </c>
    </row>
    <row r="381" spans="1:10" x14ac:dyDescent="0.25">
      <c r="A381" s="123" t="s">
        <v>803</v>
      </c>
      <c r="B381" s="124">
        <f>IF(OR(B372="",B370=""),"",B372-B370)</f>
        <v>8</v>
      </c>
      <c r="E381" s="123" t="s">
        <v>803</v>
      </c>
      <c r="F381" s="124">
        <f>IF(OR(F372="",F370=""),"",F372-F370)</f>
        <v>7</v>
      </c>
      <c r="I381" s="123" t="s">
        <v>803</v>
      </c>
      <c r="J381" s="124">
        <f>IF(OR(J372="",J370=""),"",J372-J370)</f>
        <v>15</v>
      </c>
    </row>
    <row r="382" spans="1:10" x14ac:dyDescent="0.25">
      <c r="A382" s="118" t="s">
        <v>804</v>
      </c>
      <c r="B382" s="125">
        <f>IF(OR(B369="",B370=""),"",B369-B370)</f>
        <v>-12</v>
      </c>
      <c r="E382" s="118" t="s">
        <v>804</v>
      </c>
      <c r="F382" s="125">
        <f>IF(OR(F369="",F370=""),"",F369-F370)</f>
        <v>-11</v>
      </c>
      <c r="I382" s="118" t="s">
        <v>804</v>
      </c>
      <c r="J382" s="125">
        <f>IF(OR(J369="",J370=""),"",J369-J370)</f>
        <v>-23</v>
      </c>
    </row>
    <row r="383" spans="1:10" x14ac:dyDescent="0.25">
      <c r="A383" s="123" t="s">
        <v>805</v>
      </c>
      <c r="B383" s="126">
        <v>1734.6</v>
      </c>
      <c r="E383" s="123" t="s">
        <v>805</v>
      </c>
      <c r="F383" s="126">
        <v>424.8</v>
      </c>
      <c r="I383" s="123" t="s">
        <v>805</v>
      </c>
      <c r="J383" s="126">
        <v>5333.599999999999</v>
      </c>
    </row>
    <row r="384" spans="1:10" x14ac:dyDescent="0.25">
      <c r="A384" s="123" t="s">
        <v>806</v>
      </c>
      <c r="B384" s="127">
        <v>649.0958490566038</v>
      </c>
      <c r="E384" s="123" t="s">
        <v>806</v>
      </c>
      <c r="F384" s="127">
        <v>157.01396226415093</v>
      </c>
      <c r="I384" s="123" t="s">
        <v>806</v>
      </c>
      <c r="J384" s="127">
        <v>1578.8309433962263</v>
      </c>
    </row>
    <row r="385" spans="1:10" x14ac:dyDescent="0.25">
      <c r="A385" s="123" t="s">
        <v>307</v>
      </c>
      <c r="B385" s="128" t="s">
        <v>170</v>
      </c>
      <c r="E385" s="123" t="s">
        <v>307</v>
      </c>
      <c r="F385" s="128" t="s">
        <v>85</v>
      </c>
      <c r="I385" s="123" t="s">
        <v>307</v>
      </c>
      <c r="J385" s="128" t="s">
        <v>177</v>
      </c>
    </row>
    <row r="386" spans="1:10" x14ac:dyDescent="0.25">
      <c r="A386" s="123" t="s">
        <v>807</v>
      </c>
      <c r="B386" s="129">
        <v>0</v>
      </c>
      <c r="E386" s="123" t="s">
        <v>807</v>
      </c>
      <c r="F386" s="129">
        <v>0</v>
      </c>
      <c r="I386" s="123" t="s">
        <v>807</v>
      </c>
      <c r="J386" s="129">
        <v>0</v>
      </c>
    </row>
    <row r="387" spans="1:10" x14ac:dyDescent="0.25">
      <c r="A387" s="123" t="s">
        <v>808</v>
      </c>
      <c r="B387" s="128">
        <v>0</v>
      </c>
      <c r="E387" s="123" t="s">
        <v>808</v>
      </c>
      <c r="F387" s="128">
        <v>0</v>
      </c>
      <c r="I387" s="123" t="s">
        <v>808</v>
      </c>
      <c r="J387" s="128">
        <v>0</v>
      </c>
    </row>
    <row r="388" spans="1:10" x14ac:dyDescent="0.25">
      <c r="A388" s="123" t="s">
        <v>809</v>
      </c>
      <c r="B388" s="128">
        <f>SUM(B383:B384)</f>
        <v>2383.6958</v>
      </c>
      <c r="E388" s="123" t="s">
        <v>809</v>
      </c>
      <c r="F388" s="128">
        <f>SUM(F383:F384)</f>
        <v>581.814</v>
      </c>
      <c r="I388" s="123" t="s">
        <v>809</v>
      </c>
      <c r="J388" s="128">
        <f>SUM(J383:J384)</f>
        <v>6912.4309</v>
      </c>
    </row>
    <row r="391" spans="1:10" x14ac:dyDescent="0.25">
      <c r="A391" s="118" t="s">
        <v>795</v>
      </c>
      <c r="B391" s="119" t="s">
        <v>853</v>
      </c>
      <c r="E391" s="118" t="s">
        <v>795</v>
      </c>
      <c r="F391" s="119" t="s">
        <v>854</v>
      </c>
      <c r="I391" s="118" t="s">
        <v>795</v>
      </c>
      <c r="J391" s="119" t="s">
        <v>855</v>
      </c>
    </row>
    <row r="392" spans="1:10" x14ac:dyDescent="0.25">
      <c r="A392" s="118" t="s">
        <v>799</v>
      </c>
      <c r="B392" s="103" t="s">
        <v>230</v>
      </c>
      <c r="E392" s="118" t="s">
        <v>799</v>
      </c>
      <c r="F392" s="103" t="s">
        <v>182</v>
      </c>
      <c r="I392" s="118" t="s">
        <v>799</v>
      </c>
      <c r="J392" s="103" t="s">
        <v>186</v>
      </c>
    </row>
    <row r="393" spans="1:10" x14ac:dyDescent="0.25">
      <c r="A393" s="118" t="s">
        <v>282</v>
      </c>
      <c r="B393" s="120" t="s">
        <v>312</v>
      </c>
      <c r="E393" s="118" t="s">
        <v>282</v>
      </c>
      <c r="F393" s="120" t="s">
        <v>312</v>
      </c>
      <c r="I393" s="118" t="s">
        <v>282</v>
      </c>
      <c r="J393" s="120" t="s">
        <v>312</v>
      </c>
    </row>
    <row r="394" spans="1:10" x14ac:dyDescent="0.25">
      <c r="A394" s="118" t="s">
        <v>288</v>
      </c>
      <c r="B394" s="121" t="s">
        <v>445</v>
      </c>
      <c r="E394" s="118" t="s">
        <v>288</v>
      </c>
      <c r="F394" s="121" t="s">
        <v>459</v>
      </c>
      <c r="I394" s="118" t="s">
        <v>288</v>
      </c>
      <c r="J394" s="121" t="s">
        <v>445</v>
      </c>
    </row>
    <row r="395" spans="1:10" x14ac:dyDescent="0.25">
      <c r="A395" s="118" t="s">
        <v>800</v>
      </c>
      <c r="B395" s="105">
        <v>46209</v>
      </c>
      <c r="E395" s="118" t="s">
        <v>800</v>
      </c>
      <c r="F395" s="105">
        <v>46225</v>
      </c>
      <c r="I395" s="118" t="s">
        <v>800</v>
      </c>
      <c r="J395" s="105">
        <v>46199</v>
      </c>
    </row>
    <row r="396" spans="1:10" x14ac:dyDescent="0.25">
      <c r="A396" s="118" t="s">
        <v>294</v>
      </c>
      <c r="B396" s="105">
        <v>46236</v>
      </c>
      <c r="E396" s="118" t="s">
        <v>294</v>
      </c>
      <c r="F396" s="105">
        <v>46242</v>
      </c>
      <c r="I396" s="118" t="s">
        <v>294</v>
      </c>
      <c r="J396" s="105">
        <v>46229</v>
      </c>
    </row>
    <row r="397" spans="1:10" x14ac:dyDescent="0.25">
      <c r="A397" s="118" t="s">
        <v>295</v>
      </c>
      <c r="B397" s="122">
        <v>46236</v>
      </c>
      <c r="E397" s="118" t="s">
        <v>295</v>
      </c>
      <c r="F397" s="122">
        <v>46245</v>
      </c>
      <c r="I397" s="118" t="s">
        <v>295</v>
      </c>
      <c r="J397" s="122">
        <v>46237</v>
      </c>
    </row>
    <row r="398" spans="1:10" x14ac:dyDescent="0.25">
      <c r="A398" s="118" t="s">
        <v>296</v>
      </c>
      <c r="B398" s="105">
        <v>46241</v>
      </c>
      <c r="E398" s="118" t="s">
        <v>296</v>
      </c>
      <c r="F398" s="105">
        <v>46261</v>
      </c>
      <c r="I398" s="118" t="s">
        <v>296</v>
      </c>
      <c r="J398" s="105">
        <v>46233</v>
      </c>
    </row>
    <row r="399" spans="1:10" x14ac:dyDescent="0.25">
      <c r="A399" s="118" t="s">
        <v>297</v>
      </c>
      <c r="B399" s="105">
        <v>46233</v>
      </c>
      <c r="E399" s="118" t="s">
        <v>297</v>
      </c>
      <c r="F399" s="105">
        <v>46255</v>
      </c>
      <c r="I399" s="118" t="s">
        <v>297</v>
      </c>
      <c r="J399" s="105">
        <v>46227</v>
      </c>
    </row>
    <row r="400" spans="1:10" x14ac:dyDescent="0.25">
      <c r="A400" s="118" t="s">
        <v>298</v>
      </c>
      <c r="B400" s="105">
        <v>46244</v>
      </c>
      <c r="E400" s="118" t="s">
        <v>298</v>
      </c>
      <c r="F400" s="105">
        <v>46266</v>
      </c>
      <c r="I400" s="118" t="s">
        <v>298</v>
      </c>
      <c r="J400" s="105">
        <v>46244</v>
      </c>
    </row>
    <row r="401" spans="1:10" x14ac:dyDescent="0.25">
      <c r="A401" s="118" t="s">
        <v>299</v>
      </c>
      <c r="B401" s="105">
        <v>46245</v>
      </c>
      <c r="E401" s="118" t="s">
        <v>299</v>
      </c>
      <c r="F401" s="105">
        <v>46266</v>
      </c>
      <c r="I401" s="118" t="s">
        <v>299</v>
      </c>
      <c r="J401" s="105">
        <v>46245</v>
      </c>
    </row>
    <row r="402" spans="1:10" x14ac:dyDescent="0.25">
      <c r="A402" s="118" t="s">
        <v>300</v>
      </c>
      <c r="B402" s="105">
        <v>46241</v>
      </c>
      <c r="E402" s="118" t="s">
        <v>300</v>
      </c>
      <c r="F402" s="105">
        <v>46261</v>
      </c>
      <c r="I402" s="118" t="s">
        <v>300</v>
      </c>
      <c r="J402" s="105">
        <v>46233</v>
      </c>
    </row>
    <row r="403" spans="1:10" x14ac:dyDescent="0.25">
      <c r="A403" s="118" t="s">
        <v>301</v>
      </c>
      <c r="B403" s="105">
        <v>46276</v>
      </c>
      <c r="E403" s="118" t="s">
        <v>301</v>
      </c>
      <c r="F403" s="105">
        <v>46275</v>
      </c>
      <c r="I403" s="118" t="s">
        <v>301</v>
      </c>
      <c r="J403" s="105">
        <v>46271</v>
      </c>
    </row>
    <row r="404" spans="1:10" x14ac:dyDescent="0.25">
      <c r="A404" s="118" t="s">
        <v>801</v>
      </c>
      <c r="B404" s="121">
        <f>IF(OR(B403="",B402=""),"",B403-B402)</f>
      </c>
      <c r="E404" s="118" t="s">
        <v>801</v>
      </c>
      <c r="F404" s="121">
        <f>IF(OR(F403="",F402=""),"",F403-F402)</f>
        <v>14</v>
      </c>
      <c r="I404" s="118" t="s">
        <v>801</v>
      </c>
      <c r="J404" s="121">
        <f>IF(OR(J403="",J402=""),"",J403-J402)</f>
      </c>
    </row>
    <row r="405" spans="1:10" x14ac:dyDescent="0.25">
      <c r="A405" s="118" t="s">
        <v>303</v>
      </c>
      <c r="B405" s="103" t="s">
        <v>792</v>
      </c>
      <c r="E405" s="118" t="s">
        <v>303</v>
      </c>
      <c r="F405" s="103" t="s">
        <v>495</v>
      </c>
      <c r="I405" s="118" t="s">
        <v>303</v>
      </c>
      <c r="J405" s="103" t="s">
        <v>743</v>
      </c>
    </row>
    <row r="406" spans="1:10" x14ac:dyDescent="0.25">
      <c r="A406" s="118" t="s">
        <v>311</v>
      </c>
      <c r="B406" s="122">
        <v>46277</v>
      </c>
      <c r="E406" s="118" t="s">
        <v>311</v>
      </c>
      <c r="F406" s="122">
        <v>46277</v>
      </c>
      <c r="I406" s="118" t="s">
        <v>311</v>
      </c>
      <c r="J406" s="122">
        <v>46281</v>
      </c>
    </row>
    <row r="407" spans="1:10" x14ac:dyDescent="0.25">
      <c r="A407" s="123" t="s">
        <v>803</v>
      </c>
      <c r="B407" s="124">
        <f>IF(OR(B398="",B396=""),"",B398-B396)</f>
      </c>
      <c r="E407" s="123" t="s">
        <v>803</v>
      </c>
      <c r="F407" s="124">
        <f>IF(OR(F398="",F396=""),"",F398-F396)</f>
        <v>19</v>
      </c>
      <c r="I407" s="123" t="s">
        <v>803</v>
      </c>
      <c r="J407" s="124">
        <f>IF(OR(J398="",J396=""),"",J398-J396)</f>
      </c>
    </row>
    <row r="408" spans="1:10" x14ac:dyDescent="0.25">
      <c r="A408" s="118" t="s">
        <v>804</v>
      </c>
      <c r="B408" s="125">
        <f>IF(OR(B395="",B396=""),"",B395-B396)</f>
      </c>
      <c r="E408" s="118" t="s">
        <v>804</v>
      </c>
      <c r="F408" s="125">
        <f>IF(OR(F395="",F396=""),"",F395-F396)</f>
        <v>-17</v>
      </c>
      <c r="I408" s="118" t="s">
        <v>804</v>
      </c>
      <c r="J408" s="125">
        <f>IF(OR(J395="",J396=""),"",J395-J396)</f>
      </c>
    </row>
    <row r="409" spans="1:10" x14ac:dyDescent="0.25">
      <c r="A409" s="123" t="s">
        <v>805</v>
      </c>
      <c r="B409" s="126">
        <v>1309.8</v>
      </c>
      <c r="E409" s="123" t="s">
        <v>805</v>
      </c>
      <c r="F409" s="126">
        <v>270</v>
      </c>
      <c r="I409" s="123" t="s">
        <v>805</v>
      </c>
      <c r="J409" s="126">
        <v>240.93</v>
      </c>
    </row>
    <row r="410" spans="1:10" x14ac:dyDescent="0.25">
      <c r="A410" s="123" t="s">
        <v>806</v>
      </c>
      <c r="B410" s="127">
        <v>475.52981132075473</v>
      </c>
      <c r="E410" s="123" t="s">
        <v>806</v>
      </c>
      <c r="F410" s="127">
        <v>324.2275471698113</v>
      </c>
      <c r="I410" s="123" t="s">
        <v>806</v>
      </c>
      <c r="J410" s="127">
        <v>669.8754716981132</v>
      </c>
    </row>
    <row r="411" spans="1:10" x14ac:dyDescent="0.25">
      <c r="A411" s="123" t="s">
        <v>307</v>
      </c>
      <c r="B411" s="128" t="s">
        <v>225</v>
      </c>
      <c r="E411" s="123" t="s">
        <v>307</v>
      </c>
      <c r="F411" s="128" t="s">
        <v>184</v>
      </c>
      <c r="I411" s="123" t="s">
        <v>307</v>
      </c>
      <c r="J411" s="128" t="s">
        <v>188</v>
      </c>
    </row>
    <row r="412" spans="1:10" x14ac:dyDescent="0.25">
      <c r="A412" s="123" t="s">
        <v>807</v>
      </c>
      <c r="B412" s="129">
        <v>0</v>
      </c>
      <c r="E412" s="123" t="s">
        <v>807</v>
      </c>
      <c r="F412" s="129">
        <v>0</v>
      </c>
      <c r="I412" s="123" t="s">
        <v>807</v>
      </c>
      <c r="J412" s="129">
        <v>0</v>
      </c>
    </row>
    <row r="413" spans="1:10" x14ac:dyDescent="0.25">
      <c r="A413" s="123" t="s">
        <v>808</v>
      </c>
      <c r="B413" s="128">
        <v>0</v>
      </c>
      <c r="E413" s="123" t="s">
        <v>808</v>
      </c>
      <c r="F413" s="128">
        <v>0</v>
      </c>
      <c r="I413" s="123" t="s">
        <v>808</v>
      </c>
      <c r="J413" s="128">
        <v>0</v>
      </c>
    </row>
    <row r="414" spans="1:10" x14ac:dyDescent="0.25">
      <c r="A414" s="123" t="s">
        <v>809</v>
      </c>
      <c r="B414" s="128">
        <f>SUM(B409:B410)</f>
        <v>1785.3298</v>
      </c>
      <c r="E414" s="123" t="s">
        <v>809</v>
      </c>
      <c r="F414" s="128">
        <f>SUM(F409:F410)</f>
        <v>594.2275</v>
      </c>
      <c r="I414" s="123" t="s">
        <v>809</v>
      </c>
      <c r="J414" s="128">
        <f>SUM(J409:J410)</f>
        <v>910.8055</v>
      </c>
    </row>
    <row r="417" spans="1:10" x14ac:dyDescent="0.25">
      <c r="A417" s="118" t="s">
        <v>795</v>
      </c>
      <c r="B417" s="119" t="s">
        <v>856</v>
      </c>
      <c r="E417" s="118" t="s">
        <v>795</v>
      </c>
      <c r="F417" s="119" t="s">
        <v>857</v>
      </c>
      <c r="I417" s="118" t="s">
        <v>795</v>
      </c>
      <c r="J417" s="119" t="s">
        <v>858</v>
      </c>
    </row>
    <row r="418" spans="1:10" x14ac:dyDescent="0.25">
      <c r="A418" s="118" t="s">
        <v>799</v>
      </c>
      <c r="B418" s="103" t="s">
        <v>190</v>
      </c>
      <c r="E418" s="118" t="s">
        <v>799</v>
      </c>
      <c r="F418" s="103" t="s">
        <v>194</v>
      </c>
      <c r="I418" s="118" t="s">
        <v>799</v>
      </c>
      <c r="J418" s="103" t="s">
        <v>198</v>
      </c>
    </row>
    <row r="419" spans="1:10" x14ac:dyDescent="0.25">
      <c r="A419" s="118" t="s">
        <v>282</v>
      </c>
      <c r="B419" s="120" t="s">
        <v>312</v>
      </c>
      <c r="E419" s="118" t="s">
        <v>282</v>
      </c>
      <c r="F419" s="120" t="s">
        <v>312</v>
      </c>
      <c r="I419" s="118" t="s">
        <v>282</v>
      </c>
      <c r="J419" s="120" t="s">
        <v>312</v>
      </c>
    </row>
    <row r="420" spans="1:10" x14ac:dyDescent="0.25">
      <c r="A420" s="118" t="s">
        <v>288</v>
      </c>
      <c r="B420" s="121" t="s">
        <v>445</v>
      </c>
      <c r="E420" s="118" t="s">
        <v>288</v>
      </c>
      <c r="F420" s="121" t="s">
        <v>361</v>
      </c>
      <c r="I420" s="118" t="s">
        <v>288</v>
      </c>
      <c r="J420" s="121" t="s">
        <v>422</v>
      </c>
    </row>
    <row r="421" spans="1:10" x14ac:dyDescent="0.25">
      <c r="A421" s="118" t="s">
        <v>800</v>
      </c>
      <c r="B421" s="105">
        <v>46203</v>
      </c>
      <c r="E421" s="118" t="s">
        <v>800</v>
      </c>
      <c r="F421" s="105">
        <v>46241</v>
      </c>
      <c r="I421" s="118" t="s">
        <v>800</v>
      </c>
      <c r="J421" s="105">
        <v>46240</v>
      </c>
    </row>
    <row r="422" spans="1:10" x14ac:dyDescent="0.25">
      <c r="A422" s="118" t="s">
        <v>294</v>
      </c>
      <c r="B422" s="105">
        <v>46234</v>
      </c>
      <c r="E422" s="118" t="s">
        <v>294</v>
      </c>
      <c r="F422" s="105">
        <v>46237</v>
      </c>
      <c r="I422" s="118" t="s">
        <v>294</v>
      </c>
      <c r="J422" s="105">
        <v>46255</v>
      </c>
    </row>
    <row r="423" spans="1:10" x14ac:dyDescent="0.25">
      <c r="A423" s="118" t="s">
        <v>295</v>
      </c>
      <c r="B423" s="122">
        <v>46235</v>
      </c>
      <c r="E423" s="118" t="s">
        <v>295</v>
      </c>
      <c r="F423" s="122">
        <v>46238</v>
      </c>
      <c r="I423" s="118" t="s">
        <v>295</v>
      </c>
      <c r="J423" s="122">
        <v>46259</v>
      </c>
    </row>
    <row r="424" spans="1:10" x14ac:dyDescent="0.25">
      <c r="A424" s="118" t="s">
        <v>296</v>
      </c>
      <c r="B424" s="105">
        <v>46241</v>
      </c>
      <c r="E424" s="118" t="s">
        <v>296</v>
      </c>
      <c r="F424" s="105">
        <v>46246</v>
      </c>
      <c r="I424" s="118" t="s">
        <v>296</v>
      </c>
      <c r="J424" s="105">
        <v>46260</v>
      </c>
    </row>
    <row r="425" spans="1:10" x14ac:dyDescent="0.25">
      <c r="A425" s="118" t="s">
        <v>297</v>
      </c>
      <c r="B425" s="105">
        <v>46233</v>
      </c>
      <c r="E425" s="118" t="s">
        <v>297</v>
      </c>
      <c r="F425" s="105">
        <v>46241</v>
      </c>
      <c r="I425" s="118" t="s">
        <v>297</v>
      </c>
      <c r="J425" s="105">
        <v>46263</v>
      </c>
    </row>
    <row r="426" spans="1:10" x14ac:dyDescent="0.25">
      <c r="A426" s="118" t="s">
        <v>298</v>
      </c>
      <c r="B426" s="105">
        <v>46244</v>
      </c>
      <c r="E426" s="118" t="s">
        <v>298</v>
      </c>
      <c r="F426" s="105">
        <v>46247</v>
      </c>
      <c r="I426" s="118" t="s">
        <v>298</v>
      </c>
      <c r="J426" s="105">
        <v>46272</v>
      </c>
    </row>
    <row r="427" spans="1:10" x14ac:dyDescent="0.25">
      <c r="A427" s="118" t="s">
        <v>299</v>
      </c>
      <c r="B427" s="105">
        <v>46245</v>
      </c>
      <c r="E427" s="118" t="s">
        <v>299</v>
      </c>
      <c r="F427" s="105">
        <v>46253</v>
      </c>
      <c r="I427" s="118" t="s">
        <v>299</v>
      </c>
      <c r="J427" s="105">
        <v>46272</v>
      </c>
    </row>
    <row r="428" spans="1:10" x14ac:dyDescent="0.25">
      <c r="A428" s="118" t="s">
        <v>300</v>
      </c>
      <c r="B428" s="105">
        <v>46241</v>
      </c>
      <c r="E428" s="118" t="s">
        <v>300</v>
      </c>
      <c r="F428" s="105">
        <v>46246</v>
      </c>
      <c r="I428" s="118" t="s">
        <v>300</v>
      </c>
      <c r="J428" s="105">
        <v>46260</v>
      </c>
    </row>
    <row r="429" spans="1:10" x14ac:dyDescent="0.25">
      <c r="A429" s="118" t="s">
        <v>301</v>
      </c>
      <c r="B429" s="105">
        <v>46275</v>
      </c>
      <c r="E429" s="118" t="s">
        <v>301</v>
      </c>
      <c r="F429" s="105">
        <v>46279</v>
      </c>
      <c r="I429" s="118" t="s">
        <v>301</v>
      </c>
      <c r="J429" s="105">
        <v>46281</v>
      </c>
    </row>
    <row r="430" spans="1:10" x14ac:dyDescent="0.25">
      <c r="A430" s="118" t="s">
        <v>801</v>
      </c>
      <c r="B430" s="121">
        <f>IF(OR(B429="",B428=""),"",B429-B428)</f>
      </c>
      <c r="E430" s="118" t="s">
        <v>801</v>
      </c>
      <c r="F430" s="121">
        <f>IF(OR(F429="",F428=""),"",F429-F428)</f>
        <v>33</v>
      </c>
      <c r="I430" s="118" t="s">
        <v>801</v>
      </c>
      <c r="J430" s="121">
        <f>IF(OR(J429="",J428=""),"",J429-J428)</f>
        <v>21</v>
      </c>
    </row>
    <row r="431" spans="1:10" x14ac:dyDescent="0.25">
      <c r="A431" s="118" t="s">
        <v>303</v>
      </c>
      <c r="B431" s="103" t="s">
        <v>747</v>
      </c>
      <c r="E431" s="118" t="s">
        <v>303</v>
      </c>
      <c r="F431" s="103" t="s">
        <v>752</v>
      </c>
      <c r="I431" s="118" t="s">
        <v>303</v>
      </c>
      <c r="J431" s="103" t="s">
        <v>758</v>
      </c>
    </row>
    <row r="432" spans="1:10" x14ac:dyDescent="0.25">
      <c r="A432" s="118" t="s">
        <v>311</v>
      </c>
      <c r="B432" s="122">
        <v>46281</v>
      </c>
      <c r="E432" s="118" t="s">
        <v>311</v>
      </c>
      <c r="F432" s="122">
        <v>46284</v>
      </c>
      <c r="I432" s="118" t="s">
        <v>311</v>
      </c>
      <c r="J432" s="122">
        <v>46282</v>
      </c>
    </row>
    <row r="433" spans="1:10" x14ac:dyDescent="0.25">
      <c r="A433" s="123" t="s">
        <v>803</v>
      </c>
      <c r="B433" s="124">
        <f>IF(OR(B424="",B422=""),"",B424-B422)</f>
      </c>
      <c r="E433" s="123" t="s">
        <v>803</v>
      </c>
      <c r="F433" s="124">
        <f>IF(OR(F424="",F422=""),"",F424-F422)</f>
        <v>9</v>
      </c>
      <c r="I433" s="123" t="s">
        <v>803</v>
      </c>
      <c r="J433" s="124">
        <f>IF(OR(J424="",J422=""),"",J424-J422)</f>
        <v>5</v>
      </c>
    </row>
    <row r="434" spans="1:10" x14ac:dyDescent="0.25">
      <c r="A434" s="118" t="s">
        <v>804</v>
      </c>
      <c r="B434" s="125">
        <f>IF(OR(B421="",B422=""),"",B421-B422)</f>
      </c>
      <c r="E434" s="118" t="s">
        <v>804</v>
      </c>
      <c r="F434" s="125">
        <f>IF(OR(F421="",F422=""),"",F421-F422)</f>
        <v>4</v>
      </c>
      <c r="I434" s="118" t="s">
        <v>804</v>
      </c>
      <c r="J434" s="125">
        <f>IF(OR(J421="",J422=""),"",J421-J422)</f>
        <v>-15</v>
      </c>
    </row>
    <row r="435" spans="1:10" x14ac:dyDescent="0.25">
      <c r="A435" s="123" t="s">
        <v>805</v>
      </c>
      <c r="B435" s="126">
        <v>1899.96</v>
      </c>
      <c r="E435" s="123" t="s">
        <v>805</v>
      </c>
      <c r="F435" s="126">
        <v>3752.4</v>
      </c>
      <c r="I435" s="123" t="s">
        <v>805</v>
      </c>
      <c r="J435" s="126"/>
    </row>
    <row r="436" spans="1:10" x14ac:dyDescent="0.25">
      <c r="A436" s="123" t="s">
        <v>806</v>
      </c>
      <c r="B436" s="127">
        <v>583.49</v>
      </c>
      <c r="E436" s="123" t="s">
        <v>806</v>
      </c>
      <c r="F436" s="127">
        <v>1168.372075471698</v>
      </c>
      <c r="I436" s="123" t="s">
        <v>806</v>
      </c>
      <c r="J436" s="127">
        <v>173.0879245283019</v>
      </c>
    </row>
    <row r="437" spans="1:10" x14ac:dyDescent="0.25">
      <c r="A437" s="123" t="s">
        <v>307</v>
      </c>
      <c r="B437" s="128" t="s">
        <v>192</v>
      </c>
      <c r="E437" s="123" t="s">
        <v>307</v>
      </c>
      <c r="F437" s="128" t="s">
        <v>196</v>
      </c>
      <c r="I437" s="123" t="s">
        <v>307</v>
      </c>
      <c r="J437" s="128" t="s">
        <v>200</v>
      </c>
    </row>
    <row r="438" spans="1:10" x14ac:dyDescent="0.25">
      <c r="A438" s="123" t="s">
        <v>807</v>
      </c>
      <c r="B438" s="129">
        <v>0</v>
      </c>
      <c r="E438" s="123" t="s">
        <v>807</v>
      </c>
      <c r="F438" s="129">
        <v>0</v>
      </c>
      <c r="I438" s="123" t="s">
        <v>807</v>
      </c>
      <c r="J438" s="129">
        <v>0</v>
      </c>
    </row>
    <row r="439" spans="1:10" x14ac:dyDescent="0.25">
      <c r="A439" s="123" t="s">
        <v>808</v>
      </c>
      <c r="B439" s="128">
        <v>0</v>
      </c>
      <c r="E439" s="123" t="s">
        <v>808</v>
      </c>
      <c r="F439" s="128">
        <v>0</v>
      </c>
      <c r="I439" s="123" t="s">
        <v>808</v>
      </c>
      <c r="J439" s="128">
        <v>0</v>
      </c>
    </row>
    <row r="440" spans="1:10" x14ac:dyDescent="0.25">
      <c r="A440" s="123" t="s">
        <v>809</v>
      </c>
      <c r="B440" s="128">
        <f>SUM(B435:B436)</f>
        <v>2483.45</v>
      </c>
      <c r="E440" s="123" t="s">
        <v>809</v>
      </c>
      <c r="F440" s="128">
        <f>SUM(F435:F436)</f>
        <v>4920.7721</v>
      </c>
      <c r="I440" s="123" t="s">
        <v>809</v>
      </c>
      <c r="J440" s="128">
        <f>SUM(J435:J436)</f>
        <v>173.0879</v>
      </c>
    </row>
    <row r="443" spans="1:10" x14ac:dyDescent="0.25">
      <c r="A443" s="118" t="s">
        <v>795</v>
      </c>
      <c r="B443" s="119" t="s">
        <v>859</v>
      </c>
      <c r="E443" s="118" t="s">
        <v>795</v>
      </c>
      <c r="F443" s="119" t="s">
        <v>860</v>
      </c>
      <c r="I443" s="118" t="s">
        <v>795</v>
      </c>
      <c r="J443" s="119" t="s">
        <v>861</v>
      </c>
    </row>
    <row r="444" spans="1:10" x14ac:dyDescent="0.25">
      <c r="A444" s="118" t="s">
        <v>799</v>
      </c>
      <c r="B444" s="103" t="s">
        <v>202</v>
      </c>
      <c r="E444" s="118" t="s">
        <v>799</v>
      </c>
      <c r="F444" s="103">
        <v>271567221</v>
      </c>
      <c r="I444" s="118" t="s">
        <v>799</v>
      </c>
      <c r="J444" s="103" t="s">
        <v>209</v>
      </c>
    </row>
    <row r="445" spans="1:10" x14ac:dyDescent="0.25">
      <c r="A445" s="118" t="s">
        <v>282</v>
      </c>
      <c r="B445" s="120" t="s">
        <v>312</v>
      </c>
      <c r="E445" s="118" t="s">
        <v>282</v>
      </c>
      <c r="F445" s="120" t="s">
        <v>312</v>
      </c>
      <c r="I445" s="118" t="s">
        <v>282</v>
      </c>
      <c r="J445" s="120" t="s">
        <v>312</v>
      </c>
    </row>
    <row r="446" spans="1:10" x14ac:dyDescent="0.25">
      <c r="A446" s="118" t="s">
        <v>288</v>
      </c>
      <c r="B446" s="121" t="s">
        <v>437</v>
      </c>
      <c r="E446" s="118" t="s">
        <v>288</v>
      </c>
      <c r="F446" s="121" t="s">
        <v>411</v>
      </c>
      <c r="I446" s="118" t="s">
        <v>288</v>
      </c>
      <c r="J446" s="121" t="s">
        <v>379</v>
      </c>
    </row>
    <row r="447" spans="1:10" x14ac:dyDescent="0.25">
      <c r="A447" s="118" t="s">
        <v>800</v>
      </c>
      <c r="B447" s="105">
        <v>46240</v>
      </c>
      <c r="E447" s="118" t="s">
        <v>800</v>
      </c>
      <c r="F447" s="105">
        <v>46266</v>
      </c>
      <c r="I447" s="118" t="s">
        <v>800</v>
      </c>
      <c r="J447" s="105">
        <v>46225</v>
      </c>
    </row>
    <row r="448" spans="1:10" x14ac:dyDescent="0.25">
      <c r="A448" s="118" t="s">
        <v>294</v>
      </c>
      <c r="B448" s="105">
        <v>46251</v>
      </c>
      <c r="E448" s="118" t="s">
        <v>294</v>
      </c>
      <c r="F448" s="105">
        <v>46241</v>
      </c>
      <c r="I448" s="118" t="s">
        <v>294</v>
      </c>
      <c r="J448" s="105">
        <v>46232</v>
      </c>
    </row>
    <row r="449" spans="1:10" x14ac:dyDescent="0.25">
      <c r="A449" s="118" t="s">
        <v>295</v>
      </c>
      <c r="B449" s="122">
        <v>46253</v>
      </c>
      <c r="E449" s="118" t="s">
        <v>295</v>
      </c>
      <c r="F449" s="122">
        <v>46241</v>
      </c>
      <c r="I449" s="118" t="s">
        <v>295</v>
      </c>
      <c r="J449" s="122">
        <v>46233</v>
      </c>
    </row>
    <row r="450" spans="1:10" x14ac:dyDescent="0.25">
      <c r="A450" s="118" t="s">
        <v>296</v>
      </c>
      <c r="B450" s="105">
        <v>46260</v>
      </c>
      <c r="E450" s="118" t="s">
        <v>296</v>
      </c>
      <c r="F450" s="105">
        <v>46270</v>
      </c>
      <c r="I450" s="118" t="s">
        <v>296</v>
      </c>
      <c r="J450" s="105">
        <v>46234</v>
      </c>
    </row>
    <row r="451" spans="1:10" x14ac:dyDescent="0.25">
      <c r="A451" s="118" t="s">
        <v>297</v>
      </c>
      <c r="B451" s="105">
        <v>46254</v>
      </c>
      <c r="E451" s="118" t="s">
        <v>297</v>
      </c>
      <c r="F451" s="105">
        <v>46268</v>
      </c>
      <c r="I451" s="118" t="s">
        <v>297</v>
      </c>
      <c r="J451" s="105">
        <v>46237</v>
      </c>
    </row>
    <row r="452" spans="1:10" x14ac:dyDescent="0.25">
      <c r="A452" s="118" t="s">
        <v>298</v>
      </c>
      <c r="B452" s="105">
        <v>46261</v>
      </c>
      <c r="E452" s="118" t="s">
        <v>298</v>
      </c>
      <c r="F452" s="105">
        <v>46272</v>
      </c>
      <c r="I452" s="118" t="s">
        <v>298</v>
      </c>
      <c r="J452" s="105">
        <v>46249</v>
      </c>
    </row>
    <row r="453" spans="1:10" x14ac:dyDescent="0.25">
      <c r="A453" s="118" t="s">
        <v>299</v>
      </c>
      <c r="B453" s="105">
        <v>46262</v>
      </c>
      <c r="E453" s="118" t="s">
        <v>299</v>
      </c>
      <c r="F453" s="105">
        <v>46272</v>
      </c>
      <c r="I453" s="118" t="s">
        <v>299</v>
      </c>
      <c r="J453" s="105">
        <v>46249</v>
      </c>
    </row>
    <row r="454" spans="1:10" x14ac:dyDescent="0.25">
      <c r="A454" s="118" t="s">
        <v>300</v>
      </c>
      <c r="B454" s="105">
        <v>46260</v>
      </c>
      <c r="E454" s="118" t="s">
        <v>300</v>
      </c>
      <c r="F454" s="105">
        <v>46270</v>
      </c>
      <c r="I454" s="118" t="s">
        <v>300</v>
      </c>
      <c r="J454" s="105">
        <v>46237</v>
      </c>
    </row>
    <row r="455" spans="1:10" x14ac:dyDescent="0.25">
      <c r="A455" s="118" t="s">
        <v>301</v>
      </c>
      <c r="B455" s="105">
        <v>46279</v>
      </c>
      <c r="E455" s="118" t="s">
        <v>301</v>
      </c>
      <c r="F455" s="105">
        <v>46270</v>
      </c>
      <c r="I455" s="118" t="s">
        <v>301</v>
      </c>
      <c r="J455" s="105">
        <v>46258</v>
      </c>
    </row>
    <row r="456" spans="1:10" x14ac:dyDescent="0.25">
      <c r="A456" s="118" t="s">
        <v>801</v>
      </c>
      <c r="B456" s="121">
        <f>IF(OR(B455="",B454=""),"",B455-B454)</f>
        <v>19</v>
      </c>
      <c r="E456" s="118" t="s">
        <v>801</v>
      </c>
      <c r="F456" s="121">
        <f>IF(OR(F455="",F454=""),"",F455-F454)</f>
        <v>0</v>
      </c>
      <c r="I456" s="118" t="s">
        <v>801</v>
      </c>
      <c r="J456" s="121">
        <f>IF(OR(J455="",J454=""),"",J455-J454)</f>
        <v>21</v>
      </c>
    </row>
    <row r="457" spans="1:10" x14ac:dyDescent="0.25">
      <c r="A457" s="118" t="s">
        <v>303</v>
      </c>
      <c r="B457" s="103" t="s">
        <v>763</v>
      </c>
      <c r="E457" s="118" t="s">
        <v>303</v>
      </c>
      <c r="F457" s="103" t="s">
        <v>388</v>
      </c>
      <c r="I457" s="118" t="s">
        <v>303</v>
      </c>
      <c r="J457" s="103" t="s">
        <v>773</v>
      </c>
    </row>
    <row r="458" spans="1:10" x14ac:dyDescent="0.25">
      <c r="A458" s="118" t="s">
        <v>311</v>
      </c>
      <c r="B458" s="122">
        <v>46280</v>
      </c>
      <c r="E458" s="118" t="s">
        <v>311</v>
      </c>
      <c r="F458" s="122">
        <v>46272</v>
      </c>
      <c r="I458" s="118" t="s">
        <v>311</v>
      </c>
      <c r="J458" s="122">
        <v>46263</v>
      </c>
    </row>
    <row r="459" spans="1:10" x14ac:dyDescent="0.25">
      <c r="A459" s="123" t="s">
        <v>803</v>
      </c>
      <c r="B459" s="124">
        <f>IF(OR(B450="",B448=""),"",B450-B448)</f>
        <v>9</v>
      </c>
      <c r="E459" s="123" t="s">
        <v>803</v>
      </c>
      <c r="F459" s="124">
        <f>IF(OR(F450="",F448=""),"",F450-F448)</f>
        <v>29</v>
      </c>
      <c r="I459" s="123" t="s">
        <v>803</v>
      </c>
      <c r="J459" s="124">
        <f>IF(OR(J450="",J448=""),"",J450-J448)</f>
        <v>2</v>
      </c>
    </row>
    <row r="460" spans="1:10" x14ac:dyDescent="0.25">
      <c r="A460" s="118" t="s">
        <v>804</v>
      </c>
      <c r="B460" s="125">
        <f>IF(OR(B447="",B448=""),"",B447-B448)</f>
        <v>-11</v>
      </c>
      <c r="E460" s="118" t="s">
        <v>804</v>
      </c>
      <c r="F460" s="125">
        <f>IF(OR(F447="",F448=""),"",F447-F448)</f>
        <v>25</v>
      </c>
      <c r="I460" s="118" t="s">
        <v>804</v>
      </c>
      <c r="J460" s="125">
        <f>IF(OR(J447="",J448=""),"",J447-J448)</f>
        <v>-7</v>
      </c>
    </row>
    <row r="461" spans="1:10" x14ac:dyDescent="0.25">
      <c r="A461" s="123" t="s">
        <v>805</v>
      </c>
      <c r="B461" s="126">
        <v>519.2</v>
      </c>
      <c r="E461" s="123" t="s">
        <v>805</v>
      </c>
      <c r="F461" s="126">
        <v>1310</v>
      </c>
      <c r="I461" s="123" t="s">
        <v>805</v>
      </c>
      <c r="J461" s="126">
        <v>460</v>
      </c>
    </row>
    <row r="462" spans="1:10" x14ac:dyDescent="0.25">
      <c r="A462" s="123" t="s">
        <v>806</v>
      </c>
      <c r="B462" s="127">
        <v>278.16264150943397</v>
      </c>
      <c r="E462" s="123" t="s">
        <v>806</v>
      </c>
      <c r="F462" s="127">
        <v>237.78754716981132</v>
      </c>
      <c r="I462" s="123" t="s">
        <v>806</v>
      </c>
      <c r="J462" s="127">
        <v>476.3498113207547</v>
      </c>
    </row>
    <row r="463" spans="1:10" x14ac:dyDescent="0.25">
      <c r="A463" s="123" t="s">
        <v>307</v>
      </c>
      <c r="B463" s="128" t="s">
        <v>204</v>
      </c>
      <c r="E463" s="123" t="s">
        <v>307</v>
      </c>
      <c r="F463" s="128" t="s">
        <v>207</v>
      </c>
      <c r="I463" s="123" t="s">
        <v>307</v>
      </c>
      <c r="J463" s="128" t="s">
        <v>101</v>
      </c>
    </row>
    <row r="464" spans="1:10" x14ac:dyDescent="0.25">
      <c r="A464" s="123" t="s">
        <v>807</v>
      </c>
      <c r="B464" s="129">
        <v>0</v>
      </c>
      <c r="E464" s="123" t="s">
        <v>807</v>
      </c>
      <c r="F464" s="129">
        <v>0</v>
      </c>
      <c r="I464" s="123" t="s">
        <v>807</v>
      </c>
      <c r="J464" s="129">
        <v>0</v>
      </c>
    </row>
    <row r="465" spans="1:10" x14ac:dyDescent="0.25">
      <c r="A465" s="123" t="s">
        <v>808</v>
      </c>
      <c r="B465" s="128">
        <v>0</v>
      </c>
      <c r="E465" s="123" t="s">
        <v>808</v>
      </c>
      <c r="F465" s="128">
        <v>0</v>
      </c>
      <c r="I465" s="123" t="s">
        <v>808</v>
      </c>
      <c r="J465" s="128">
        <v>0</v>
      </c>
    </row>
    <row r="466" spans="1:10" x14ac:dyDescent="0.25">
      <c r="A466" s="123" t="s">
        <v>809</v>
      </c>
      <c r="B466" s="128">
        <f>SUM(B461:B462)</f>
        <v>797.3626</v>
      </c>
      <c r="E466" s="123" t="s">
        <v>809</v>
      </c>
      <c r="F466" s="128">
        <f>SUM(F461:F462)</f>
        <v>1547.7875</v>
      </c>
      <c r="I466" s="123" t="s">
        <v>809</v>
      </c>
      <c r="J466" s="128">
        <f>SUM(J461:J462)</f>
        <v>936.3498</v>
      </c>
    </row>
    <row r="469" spans="1:10" x14ac:dyDescent="0.25">
      <c r="A469" s="118" t="s">
        <v>795</v>
      </c>
      <c r="B469" s="119" t="s">
        <v>862</v>
      </c>
      <c r="E469" s="118" t="s">
        <v>795</v>
      </c>
      <c r="F469" s="119" t="s">
        <v>863</v>
      </c>
      <c r="I469" s="118" t="s">
        <v>795</v>
      </c>
      <c r="J469" s="119" t="s">
        <v>864</v>
      </c>
    </row>
    <row r="470" spans="1:10" x14ac:dyDescent="0.25">
      <c r="A470" s="118" t="s">
        <v>799</v>
      </c>
      <c r="B470" s="103" t="s">
        <v>212</v>
      </c>
      <c r="E470" s="118" t="s">
        <v>799</v>
      </c>
      <c r="F470" s="103" t="s">
        <v>216</v>
      </c>
      <c r="I470" s="118" t="s">
        <v>799</v>
      </c>
      <c r="J470" s="103" t="s">
        <v>783</v>
      </c>
    </row>
    <row r="471" spans="1:10" x14ac:dyDescent="0.25">
      <c r="A471" s="118" t="s">
        <v>282</v>
      </c>
      <c r="B471" s="120" t="s">
        <v>312</v>
      </c>
      <c r="E471" s="118" t="s">
        <v>282</v>
      </c>
      <c r="F471" s="120" t="s">
        <v>312</v>
      </c>
      <c r="I471" s="118" t="s">
        <v>282</v>
      </c>
      <c r="J471" s="120" t="s">
        <v>312</v>
      </c>
    </row>
    <row r="472" spans="1:10" x14ac:dyDescent="0.25">
      <c r="A472" s="118" t="s">
        <v>288</v>
      </c>
      <c r="B472" s="121" t="s">
        <v>361</v>
      </c>
      <c r="E472" s="118" t="s">
        <v>288</v>
      </c>
      <c r="F472" s="121" t="s">
        <v>361</v>
      </c>
      <c r="I472" s="118" t="s">
        <v>288</v>
      </c>
      <c r="J472" s="121" t="s">
        <v>318</v>
      </c>
    </row>
    <row r="473" spans="1:10" x14ac:dyDescent="0.25">
      <c r="A473" s="118" t="s">
        <v>800</v>
      </c>
      <c r="B473" s="105">
        <v>46216</v>
      </c>
      <c r="E473" s="118" t="s">
        <v>800</v>
      </c>
      <c r="F473" s="105">
        <v>46212</v>
      </c>
      <c r="I473" s="118" t="s">
        <v>800</v>
      </c>
      <c r="J473" s="105">
        <v>46211</v>
      </c>
    </row>
    <row r="474" spans="1:10" x14ac:dyDescent="0.25">
      <c r="A474" s="118" t="s">
        <v>294</v>
      </c>
      <c r="B474" s="105">
        <v>46211</v>
      </c>
      <c r="E474" s="118" t="s">
        <v>294</v>
      </c>
      <c r="F474" s="105">
        <v>46225</v>
      </c>
      <c r="I474" s="118" t="s">
        <v>294</v>
      </c>
      <c r="J474" s="105">
        <v>46264</v>
      </c>
    </row>
    <row r="475" spans="1:10" x14ac:dyDescent="0.25">
      <c r="A475" s="118" t="s">
        <v>295</v>
      </c>
      <c r="B475" s="122">
        <v>46212</v>
      </c>
      <c r="E475" s="118" t="s">
        <v>295</v>
      </c>
      <c r="F475" s="122">
        <v>46227</v>
      </c>
      <c r="I475" s="118" t="s">
        <v>295</v>
      </c>
      <c r="J475" s="122">
        <v>46268</v>
      </c>
    </row>
    <row r="476" spans="1:10" x14ac:dyDescent="0.25">
      <c r="A476" s="118" t="s">
        <v>296</v>
      </c>
      <c r="B476" s="105">
        <v>46218</v>
      </c>
      <c r="E476" s="118" t="s">
        <v>296</v>
      </c>
      <c r="F476" s="105">
        <v>46227</v>
      </c>
      <c r="I476" s="118" t="s">
        <v>296</v>
      </c>
      <c r="J476" s="105">
        <v>46296</v>
      </c>
    </row>
    <row r="477" spans="1:10" x14ac:dyDescent="0.25">
      <c r="A477" s="118" t="s">
        <v>297</v>
      </c>
      <c r="B477" s="105">
        <v>46217</v>
      </c>
      <c r="E477" s="118" t="s">
        <v>297</v>
      </c>
      <c r="F477" s="105">
        <v>46223</v>
      </c>
      <c r="I477" s="118" t="s">
        <v>297</v>
      </c>
      <c r="J477" s="105">
        <v>46270</v>
      </c>
    </row>
    <row r="478" spans="1:10" x14ac:dyDescent="0.25">
      <c r="A478" s="118" t="s">
        <v>298</v>
      </c>
      <c r="B478" s="105">
        <v>46220</v>
      </c>
      <c r="E478" s="118" t="s">
        <v>298</v>
      </c>
      <c r="F478" s="105">
        <v>46230</v>
      </c>
      <c r="I478" s="118" t="s">
        <v>298</v>
      </c>
      <c r="J478" s="105">
        <v>46283</v>
      </c>
    </row>
    <row r="479" spans="1:10" x14ac:dyDescent="0.25">
      <c r="A479" s="118" t="s">
        <v>299</v>
      </c>
      <c r="B479" s="105">
        <v>46220</v>
      </c>
      <c r="E479" s="118" t="s">
        <v>299</v>
      </c>
      <c r="F479" s="105">
        <v>46230</v>
      </c>
      <c r="I479" s="118" t="s">
        <v>299</v>
      </c>
      <c r="J479" s="105">
        <v>46297</v>
      </c>
    </row>
    <row r="480" spans="1:10" x14ac:dyDescent="0.25">
      <c r="A480" s="118" t="s">
        <v>300</v>
      </c>
      <c r="B480" s="105">
        <v>46218</v>
      </c>
      <c r="E480" s="118" t="s">
        <v>300</v>
      </c>
      <c r="F480" s="105">
        <v>46227</v>
      </c>
      <c r="I480" s="118" t="s">
        <v>300</v>
      </c>
      <c r="J480" s="105">
        <v>46296</v>
      </c>
    </row>
    <row r="481" spans="1:10" x14ac:dyDescent="0.25">
      <c r="A481" s="118" t="s">
        <v>301</v>
      </c>
      <c r="B481" s="105">
        <v>46239</v>
      </c>
      <c r="E481" s="118" t="s">
        <v>301</v>
      </c>
      <c r="F481" s="105">
        <v>46251</v>
      </c>
      <c r="I481" s="118" t="s">
        <v>301</v>
      </c>
      <c r="J481" s="105">
        <v>46296</v>
      </c>
    </row>
    <row r="482" spans="1:10" x14ac:dyDescent="0.25">
      <c r="A482" s="118" t="s">
        <v>801</v>
      </c>
      <c r="B482" s="121">
        <f>IF(OR(B481="",B480=""),"",B481-B480)</f>
        <v>21</v>
      </c>
      <c r="E482" s="118" t="s">
        <v>801</v>
      </c>
      <c r="F482" s="121">
        <f>IF(OR(F481="",F480=""),"",F481-F480)</f>
        <v>24</v>
      </c>
      <c r="I482" s="118" t="s">
        <v>801</v>
      </c>
      <c r="J482" s="121">
        <f>IF(OR(J481="",J480=""),"",J481-J480)</f>
        <v>0</v>
      </c>
    </row>
    <row r="483" spans="1:10" x14ac:dyDescent="0.25">
      <c r="A483" s="118" t="s">
        <v>303</v>
      </c>
      <c r="B483" s="103" t="s">
        <v>779</v>
      </c>
      <c r="E483" s="118" t="s">
        <v>303</v>
      </c>
      <c r="F483" s="103" t="s">
        <v>782</v>
      </c>
      <c r="I483" s="118" t="s">
        <v>303</v>
      </c>
      <c r="J483" s="103" t="s">
        <v>785</v>
      </c>
    </row>
    <row r="484" spans="1:10" x14ac:dyDescent="0.25">
      <c r="A484" s="118" t="s">
        <v>311</v>
      </c>
      <c r="B484" s="122">
        <v>46246</v>
      </c>
      <c r="E484" s="118" t="s">
        <v>311</v>
      </c>
      <c r="F484" s="122">
        <v>46252</v>
      </c>
      <c r="I484" s="118" t="s">
        <v>311</v>
      </c>
      <c r="J484" s="122">
        <v>46301</v>
      </c>
    </row>
    <row r="485" spans="1:10" x14ac:dyDescent="0.25">
      <c r="A485" s="123" t="s">
        <v>803</v>
      </c>
      <c r="B485" s="124">
        <f>IF(OR(B476="",B474=""),"",B476-B474)</f>
        <v>7</v>
      </c>
      <c r="E485" s="123" t="s">
        <v>803</v>
      </c>
      <c r="F485" s="124">
        <f>IF(OR(F476="",F474=""),"",F476-F474)</f>
        <v>2</v>
      </c>
      <c r="I485" s="123" t="s">
        <v>803</v>
      </c>
      <c r="J485" s="124">
        <f>IF(OR(J476="",J474=""),"",J476-J474)</f>
        <v>32</v>
      </c>
    </row>
    <row r="486" spans="1:10" x14ac:dyDescent="0.25">
      <c r="A486" s="118" t="s">
        <v>804</v>
      </c>
      <c r="B486" s="125">
        <f>IF(OR(B473="",B474=""),"",B473-B474)</f>
        <v>5</v>
      </c>
      <c r="E486" s="118" t="s">
        <v>804</v>
      </c>
      <c r="F486" s="125">
        <f>IF(OR(F473="",F474=""),"",F473-F474)</f>
        <v>-13</v>
      </c>
      <c r="I486" s="118" t="s">
        <v>804</v>
      </c>
      <c r="J486" s="125">
        <f>IF(OR(J473="",J474=""),"",J473-J474)</f>
        <v>-53</v>
      </c>
    </row>
    <row r="487" spans="1:10" x14ac:dyDescent="0.25">
      <c r="A487" s="123" t="s">
        <v>805</v>
      </c>
      <c r="B487" s="126">
        <v>649</v>
      </c>
      <c r="E487" s="123" t="s">
        <v>805</v>
      </c>
      <c r="F487" s="126"/>
      <c r="I487" s="123" t="s">
        <v>805</v>
      </c>
      <c r="J487" s="126">
        <v>790</v>
      </c>
    </row>
    <row r="488" spans="1:10" x14ac:dyDescent="0.25">
      <c r="A488" s="123" t="s">
        <v>806</v>
      </c>
      <c r="B488" s="127">
        <v>293.01962264150944</v>
      </c>
      <c r="E488" s="123" t="s">
        <v>806</v>
      </c>
      <c r="F488" s="127">
        <v>173.27735849056603</v>
      </c>
      <c r="I488" s="123" t="s">
        <v>806</v>
      </c>
      <c r="J488" s="127">
        <v>86.54867924528303</v>
      </c>
    </row>
    <row r="489" spans="1:10" x14ac:dyDescent="0.25">
      <c r="A489" s="123" t="s">
        <v>307</v>
      </c>
      <c r="B489" s="128" t="s">
        <v>214</v>
      </c>
      <c r="E489" s="123" t="s">
        <v>307</v>
      </c>
      <c r="F489" s="128" t="s">
        <v>218</v>
      </c>
      <c r="I489" s="123" t="s">
        <v>307</v>
      </c>
      <c r="J489" s="128" t="s">
        <v>221</v>
      </c>
    </row>
    <row r="490" spans="1:10" x14ac:dyDescent="0.25">
      <c r="A490" s="123" t="s">
        <v>807</v>
      </c>
      <c r="B490" s="129">
        <v>0</v>
      </c>
      <c r="E490" s="123" t="s">
        <v>807</v>
      </c>
      <c r="F490" s="129">
        <v>0</v>
      </c>
      <c r="I490" s="123" t="s">
        <v>807</v>
      </c>
      <c r="J490" s="129">
        <v>0</v>
      </c>
    </row>
    <row r="491" spans="1:10" x14ac:dyDescent="0.25">
      <c r="A491" s="123" t="s">
        <v>808</v>
      </c>
      <c r="B491" s="128">
        <v>0</v>
      </c>
      <c r="E491" s="123" t="s">
        <v>808</v>
      </c>
      <c r="F491" s="128">
        <v>0</v>
      </c>
      <c r="I491" s="123" t="s">
        <v>808</v>
      </c>
      <c r="J491" s="128">
        <v>0</v>
      </c>
    </row>
    <row r="492" spans="1:10" x14ac:dyDescent="0.25">
      <c r="A492" s="123" t="s">
        <v>809</v>
      </c>
      <c r="B492" s="128">
        <f>SUM(B487:B488)</f>
        <v>942.0196</v>
      </c>
      <c r="E492" s="123" t="s">
        <v>809</v>
      </c>
      <c r="F492" s="128">
        <f>SUM(F487:F488)</f>
        <v>173.2774</v>
      </c>
      <c r="I492" s="123" t="s">
        <v>809</v>
      </c>
      <c r="J492" s="128">
        <f>SUM(J487:J488)</f>
        <v>876.5487</v>
      </c>
    </row>
    <row r="495" spans="1:10" x14ac:dyDescent="0.25">
      <c r="A495" s="118" t="s">
        <v>795</v>
      </c>
      <c r="B495" s="119" t="s">
        <v>865</v>
      </c>
    </row>
    <row r="496" spans="1:2" x14ac:dyDescent="0.25">
      <c r="A496" s="118" t="s">
        <v>799</v>
      </c>
      <c r="B496" s="103" t="s">
        <v>223</v>
      </c>
    </row>
    <row r="497" spans="1:2" x14ac:dyDescent="0.25">
      <c r="A497" s="118" t="s">
        <v>282</v>
      </c>
      <c r="B497" s="120" t="s">
        <v>312</v>
      </c>
    </row>
    <row r="498" spans="1:2" x14ac:dyDescent="0.25">
      <c r="A498" s="118" t="s">
        <v>288</v>
      </c>
      <c r="B498" s="121" t="s">
        <v>445</v>
      </c>
    </row>
    <row r="499" spans="1:2" x14ac:dyDescent="0.25">
      <c r="A499" s="118" t="s">
        <v>800</v>
      </c>
      <c r="B499" s="105">
        <v>46209</v>
      </c>
    </row>
    <row r="500" spans="1:2" x14ac:dyDescent="0.25">
      <c r="A500" s="118" t="s">
        <v>294</v>
      </c>
      <c r="B500" s="105">
        <v>46234</v>
      </c>
    </row>
    <row r="501" spans="1:2" x14ac:dyDescent="0.25">
      <c r="A501" s="118" t="s">
        <v>295</v>
      </c>
      <c r="B501" s="122">
        <v>46234</v>
      </c>
    </row>
    <row r="502" spans="1:2" x14ac:dyDescent="0.25">
      <c r="A502" s="118" t="s">
        <v>296</v>
      </c>
      <c r="B502" s="105">
        <v>46241</v>
      </c>
    </row>
    <row r="503" spans="1:2" x14ac:dyDescent="0.25">
      <c r="A503" s="118" t="s">
        <v>297</v>
      </c>
      <c r="B503" s="105">
        <v>46233</v>
      </c>
    </row>
    <row r="504" spans="1:2" x14ac:dyDescent="0.25">
      <c r="A504" s="118" t="s">
        <v>298</v>
      </c>
      <c r="B504" s="105">
        <v>46244</v>
      </c>
    </row>
    <row r="505" spans="1:2" x14ac:dyDescent="0.25">
      <c r="A505" s="118" t="s">
        <v>299</v>
      </c>
      <c r="B505" s="105">
        <v>46245</v>
      </c>
    </row>
    <row r="506" spans="1:2" x14ac:dyDescent="0.25">
      <c r="A506" s="118" t="s">
        <v>300</v>
      </c>
      <c r="B506" s="105">
        <v>46241</v>
      </c>
    </row>
    <row r="507" spans="1:2" x14ac:dyDescent="0.25">
      <c r="A507" s="118" t="s">
        <v>301</v>
      </c>
      <c r="B507" s="105">
        <v>46275</v>
      </c>
    </row>
    <row r="508" spans="1:2" x14ac:dyDescent="0.25">
      <c r="A508" s="118" t="s">
        <v>801</v>
      </c>
      <c r="B508" s="121">
        <f>IF(OR(B507="",B506=""),"",B507-B506)</f>
      </c>
    </row>
    <row r="509" spans="1:2" x14ac:dyDescent="0.25">
      <c r="A509" s="118" t="s">
        <v>303</v>
      </c>
      <c r="B509" s="103" t="s">
        <v>414</v>
      </c>
    </row>
    <row r="510" spans="1:2" x14ac:dyDescent="0.25">
      <c r="A510" s="118" t="s">
        <v>311</v>
      </c>
      <c r="B510" s="122">
        <v>46277</v>
      </c>
    </row>
    <row r="511" spans="1:2" x14ac:dyDescent="0.25">
      <c r="A511" s="123" t="s">
        <v>803</v>
      </c>
      <c r="B511" s="124">
        <f>IF(OR(B502="",B500=""),"",B502-B500)</f>
      </c>
    </row>
    <row r="512" spans="1:2" x14ac:dyDescent="0.25">
      <c r="A512" s="118" t="s">
        <v>804</v>
      </c>
      <c r="B512" s="125">
        <f>IF(OR(B499="",B500=""),"",B499-B500)</f>
      </c>
    </row>
    <row r="513" spans="1:2" x14ac:dyDescent="0.25">
      <c r="A513" s="123" t="s">
        <v>805</v>
      </c>
      <c r="B513" s="126">
        <v>1498.6</v>
      </c>
    </row>
    <row r="514" spans="1:2" x14ac:dyDescent="0.25">
      <c r="A514" s="123" t="s">
        <v>806</v>
      </c>
      <c r="B514" s="127">
        <v>475.73811320754714</v>
      </c>
    </row>
    <row r="515" spans="1:2" x14ac:dyDescent="0.25">
      <c r="A515" s="123" t="s">
        <v>307</v>
      </c>
      <c r="B515" s="128" t="s">
        <v>225</v>
      </c>
    </row>
    <row r="516" spans="1:2" x14ac:dyDescent="0.25">
      <c r="A516" s="123" t="s">
        <v>807</v>
      </c>
      <c r="B516" s="129">
        <v>0</v>
      </c>
    </row>
    <row r="517" spans="1:2" x14ac:dyDescent="0.25">
      <c r="A517" s="123" t="s">
        <v>808</v>
      </c>
      <c r="B517" s="128">
        <v>0</v>
      </c>
    </row>
    <row r="518" spans="1:2" x14ac:dyDescent="0.25">
      <c r="A518" s="123" t="s">
        <v>809</v>
      </c>
      <c r="B518" s="128">
        <f>SUM(B513:B514)</f>
        <v>1974.3381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selection activeCell="O4" sqref="O4"/>
    </sheetView>
  </sheetViews>
  <sheetFormatPr defaultRowHeight="14.5" outlineLevelRow="0" outlineLevelCol="0" x14ac:dyDescent="0.35" customHeight="1"/>
  <cols>
    <col min="1" max="1" width="28" customWidth="1"/>
    <col min="2" max="2" width="19.26953125" customWidth="1"/>
    <col min="4" max="4" width="11.26953125" customWidth="1"/>
    <col min="5" max="5" width="18.1796875" customWidth="1"/>
    <col min="6" max="6" width="12.54296875" customWidth="1"/>
    <col min="7" max="7" width="11" customWidth="1"/>
    <col min="8" max="8" width="7.54296875" customWidth="1"/>
    <col min="9" max="9" width="15.1796875" customWidth="1"/>
    <col min="10" max="10" width="19" customWidth="1"/>
    <col min="11" max="11" width="10.81640625" customWidth="1"/>
    <col min="12" max="12" width="19.81640625" customWidth="1"/>
    <col min="13" max="13" width="13" customWidth="1"/>
    <col min="14" max="14" width="19.54296875" customWidth="1"/>
    <col min="15" max="15" width="27" customWidth="1"/>
    <col min="17" max="17" width="9.54296875" customWidth="1"/>
    <col min="18" max="18" width="12.1796875" customWidth="1"/>
    <col min="19" max="19" width="13.81640625" customWidth="1"/>
    <col min="21" max="21" width="27.26953125" customWidth="1"/>
    <col min="22" max="22" width="15.26953125" customWidth="1"/>
    <col min="23" max="23" width="13.7265625" customWidth="1"/>
    <col min="24" max="24" width="11.26953125" customWidth="1"/>
  </cols>
  <sheetData>
    <row r="1" spans="1:24" x14ac:dyDescent="0.25">
      <c r="A1" s="118" t="s">
        <v>795</v>
      </c>
      <c r="B1" s="118" t="s">
        <v>799</v>
      </c>
      <c r="C1" s="118" t="s">
        <v>282</v>
      </c>
      <c r="D1" s="118" t="s">
        <v>288</v>
      </c>
      <c r="E1" s="118" t="s">
        <v>800</v>
      </c>
      <c r="F1" s="118" t="s">
        <v>294</v>
      </c>
      <c r="G1" s="118" t="s">
        <v>295</v>
      </c>
      <c r="H1" s="118" t="s">
        <v>296</v>
      </c>
      <c r="I1" s="118" t="s">
        <v>297</v>
      </c>
      <c r="J1" s="118" t="s">
        <v>298</v>
      </c>
      <c r="K1" s="118" t="s">
        <v>299</v>
      </c>
      <c r="L1" s="118" t="s">
        <v>300</v>
      </c>
      <c r="M1" s="118" t="s">
        <v>301</v>
      </c>
      <c r="N1" s="118" t="s">
        <v>801</v>
      </c>
      <c r="O1" s="118" t="s">
        <v>303</v>
      </c>
      <c r="P1" s="118" t="s">
        <v>311</v>
      </c>
      <c r="Q1" s="123" t="s">
        <v>803</v>
      </c>
      <c r="R1" s="118" t="s">
        <v>866</v>
      </c>
      <c r="S1" s="123" t="s">
        <v>867</v>
      </c>
      <c r="T1" s="123" t="s">
        <v>868</v>
      </c>
      <c r="U1" s="123" t="s">
        <v>307</v>
      </c>
      <c r="V1" s="123" t="s">
        <v>869</v>
      </c>
      <c r="W1" s="123" t="s">
        <v>870</v>
      </c>
      <c r="X1" s="123" t="s">
        <v>809</v>
      </c>
    </row>
    <row r="2" spans="1:24" x14ac:dyDescent="0.25">
      <c r="A2" s="119" t="s">
        <v>871</v>
      </c>
      <c r="B2" s="130" t="s">
        <v>41</v>
      </c>
      <c r="C2" s="120" t="s">
        <v>312</v>
      </c>
      <c r="D2" s="121" t="s">
        <v>422</v>
      </c>
      <c r="E2" s="105">
        <v>46203</v>
      </c>
      <c r="F2" s="105">
        <v>46208</v>
      </c>
      <c r="G2" s="105">
        <v>46211</v>
      </c>
      <c r="H2" s="105">
        <v>46209</v>
      </c>
      <c r="I2" s="105">
        <v>46214</v>
      </c>
      <c r="J2" s="105">
        <v>46225</v>
      </c>
      <c r="K2" s="105">
        <v>46225</v>
      </c>
      <c r="L2" s="105">
        <v>46218</v>
      </c>
      <c r="M2" s="105">
        <v>46239</v>
      </c>
      <c r="N2" s="121">
        <f>M2-L2</f>
        <v>21</v>
      </c>
      <c r="O2" s="103" t="s">
        <v>424</v>
      </c>
      <c r="P2" s="122">
        <v>46245</v>
      </c>
      <c r="Q2" s="124">
        <f>H2-F2</f>
        <v>1</v>
      </c>
      <c r="R2" s="125">
        <v>0</v>
      </c>
      <c r="S2" s="131">
        <v>955.96</v>
      </c>
      <c r="T2" s="131">
        <f>(162802+814009)/2650</f>
        <v>368.6079245283019</v>
      </c>
      <c r="U2" s="132" t="s">
        <v>20</v>
      </c>
      <c r="V2" s="133">
        <v>0</v>
      </c>
      <c r="W2" s="133">
        <v>0</v>
      </c>
      <c r="X2" s="133">
        <f>S2+T2</f>
        <v>1324.567924528302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selection activeCell="U29" sqref="U29"/>
    </sheetView>
  </sheetViews>
  <sheetFormatPr defaultRowHeight="14.5" outlineLevelRow="0" outlineLevelCol="0" x14ac:dyDescent="0.35" customHeight="1"/>
  <cols>
    <col min="2" max="2" width="19.1796875" customWidth="1"/>
    <col min="15" max="15" width="78.54296875" customWidth="1"/>
    <col min="20" max="20" width="82.54296875" customWidth="1"/>
    <col min="21" max="21" width="106" customWidth="1"/>
    <col min="22" max="22" width="15.26953125" customWidth="1"/>
    <col min="23" max="23" width="13.7265625" customWidth="1"/>
    <col min="24" max="24" width="11.26953125" customWidth="1"/>
    <col min="26" max="26" width="43.1796875" customWidth="1"/>
    <col min="52" max="52" width="48.81640625" customWidth="1"/>
  </cols>
  <sheetData>
    <row r="1" spans="1:23" x14ac:dyDescent="0.25">
      <c r="A1" s="118" t="s">
        <v>795</v>
      </c>
      <c r="B1" s="118" t="s">
        <v>799</v>
      </c>
      <c r="C1" s="118" t="s">
        <v>282</v>
      </c>
      <c r="D1" s="118" t="s">
        <v>288</v>
      </c>
      <c r="E1" s="118" t="s">
        <v>800</v>
      </c>
      <c r="F1" s="118" t="s">
        <v>294</v>
      </c>
      <c r="G1" s="118" t="s">
        <v>295</v>
      </c>
      <c r="H1" s="118" t="s">
        <v>296</v>
      </c>
      <c r="I1" s="118" t="s">
        <v>297</v>
      </c>
      <c r="J1" s="118" t="s">
        <v>298</v>
      </c>
      <c r="K1" s="118" t="s">
        <v>299</v>
      </c>
      <c r="L1" s="118" t="s">
        <v>300</v>
      </c>
      <c r="M1" s="118" t="s">
        <v>301</v>
      </c>
      <c r="N1" s="118" t="s">
        <v>801</v>
      </c>
      <c r="O1" s="118" t="s">
        <v>303</v>
      </c>
      <c r="P1" s="118" t="s">
        <v>311</v>
      </c>
      <c r="Q1" s="123" t="s">
        <v>803</v>
      </c>
      <c r="R1" s="118" t="s">
        <v>866</v>
      </c>
      <c r="S1" s="123" t="s">
        <v>867</v>
      </c>
      <c r="T1" s="123" t="s">
        <v>307</v>
      </c>
      <c r="U1" s="123" t="s">
        <v>807</v>
      </c>
      <c r="V1" s="123" t="s">
        <v>808</v>
      </c>
      <c r="W1" s="123" t="s">
        <v>872</v>
      </c>
    </row>
    <row r="2" spans="1:23" x14ac:dyDescent="0.25">
      <c r="A2" s="119" t="s">
        <v>873</v>
      </c>
      <c r="B2" s="103" t="s">
        <v>10</v>
      </c>
      <c r="C2" s="120" t="s">
        <v>312</v>
      </c>
      <c r="D2" s="121" t="s">
        <v>327</v>
      </c>
      <c r="E2" s="105">
        <v>46219</v>
      </c>
      <c r="F2" s="105">
        <v>46211</v>
      </c>
      <c r="G2" s="122">
        <v>46237</v>
      </c>
      <c r="H2" s="105">
        <v>46219</v>
      </c>
      <c r="I2" s="105">
        <v>46213</v>
      </c>
      <c r="J2" s="105">
        <v>46225</v>
      </c>
      <c r="K2" s="105">
        <v>46225</v>
      </c>
      <c r="L2" s="105">
        <v>46216</v>
      </c>
      <c r="M2" s="105">
        <v>46225</v>
      </c>
      <c r="N2" s="121">
        <f>M2-L2</f>
        <v>9</v>
      </c>
      <c r="O2" s="103" t="s">
        <v>329</v>
      </c>
      <c r="P2" s="122">
        <v>46243</v>
      </c>
      <c r="Q2" s="124">
        <f>H2-F2</f>
        <v>8</v>
      </c>
      <c r="R2" s="125">
        <f>E2-F2</f>
        <v>8</v>
      </c>
      <c r="S2" s="134">
        <v>270</v>
      </c>
      <c r="T2" s="135" t="s">
        <v>330</v>
      </c>
      <c r="U2" s="136">
        <v>0</v>
      </c>
      <c r="V2" s="137">
        <v>0</v>
      </c>
      <c r="W2" s="136">
        <v>270</v>
      </c>
    </row>
    <row r="5" spans="1:23" x14ac:dyDescent="0.25">
      <c r="A5" s="118" t="s">
        <v>795</v>
      </c>
      <c r="B5" s="118" t="s">
        <v>799</v>
      </c>
      <c r="C5" s="118" t="s">
        <v>282</v>
      </c>
      <c r="D5" s="118" t="s">
        <v>288</v>
      </c>
      <c r="E5" s="118" t="s">
        <v>800</v>
      </c>
      <c r="F5" s="118" t="s">
        <v>294</v>
      </c>
      <c r="G5" s="118" t="s">
        <v>295</v>
      </c>
      <c r="H5" s="118" t="s">
        <v>296</v>
      </c>
      <c r="I5" s="118" t="s">
        <v>297</v>
      </c>
      <c r="J5" s="118" t="s">
        <v>298</v>
      </c>
      <c r="K5" s="118" t="s">
        <v>299</v>
      </c>
      <c r="L5" s="118" t="s">
        <v>300</v>
      </c>
      <c r="M5" s="118" t="s">
        <v>301</v>
      </c>
      <c r="N5" s="118" t="s">
        <v>801</v>
      </c>
      <c r="O5" s="118" t="s">
        <v>303</v>
      </c>
      <c r="P5" s="118" t="s">
        <v>311</v>
      </c>
      <c r="Q5" s="123" t="s">
        <v>803</v>
      </c>
      <c r="R5" s="118" t="s">
        <v>866</v>
      </c>
      <c r="S5" s="123" t="s">
        <v>868</v>
      </c>
      <c r="T5" s="123" t="s">
        <v>307</v>
      </c>
      <c r="U5" s="123" t="s">
        <v>807</v>
      </c>
      <c r="V5" s="123" t="s">
        <v>808</v>
      </c>
      <c r="W5" s="123" t="s">
        <v>872</v>
      </c>
    </row>
    <row r="6" spans="1:23" x14ac:dyDescent="0.25">
      <c r="A6" s="138" t="s">
        <v>874</v>
      </c>
      <c r="B6" s="103" t="s">
        <v>16</v>
      </c>
      <c r="C6" s="120" t="s">
        <v>312</v>
      </c>
      <c r="D6" s="121" t="s">
        <v>875</v>
      </c>
      <c r="E6" s="105">
        <v>46203</v>
      </c>
      <c r="F6" s="105">
        <v>46207</v>
      </c>
      <c r="G6" s="122">
        <v>46237</v>
      </c>
      <c r="H6" s="105">
        <v>46219</v>
      </c>
      <c r="I6" s="105">
        <v>46211</v>
      </c>
      <c r="J6" s="105">
        <v>46220</v>
      </c>
      <c r="K6" s="105">
        <v>46220</v>
      </c>
      <c r="L6" s="105">
        <v>46214</v>
      </c>
      <c r="M6" s="105">
        <v>46237</v>
      </c>
      <c r="N6" s="121">
        <f>M6-L6</f>
        <v>23</v>
      </c>
      <c r="O6" s="103" t="s">
        <v>876</v>
      </c>
      <c r="P6" s="105">
        <v>46239</v>
      </c>
      <c r="Q6" s="124">
        <f>H6-F6</f>
        <v>12</v>
      </c>
      <c r="R6" s="125">
        <v>0</v>
      </c>
      <c r="S6" s="134">
        <v>1045.81</v>
      </c>
      <c r="T6" s="106" t="s">
        <v>366</v>
      </c>
      <c r="U6" s="136">
        <v>0</v>
      </c>
      <c r="V6" s="137">
        <v>0</v>
      </c>
      <c r="W6" s="134">
        <v>1045.81</v>
      </c>
    </row>
    <row r="9" spans="1:23" x14ac:dyDescent="0.25">
      <c r="A9" s="118" t="s">
        <v>795</v>
      </c>
      <c r="B9" s="118" t="s">
        <v>799</v>
      </c>
      <c r="C9" s="118" t="s">
        <v>282</v>
      </c>
      <c r="D9" s="118" t="s">
        <v>288</v>
      </c>
      <c r="E9" s="118" t="s">
        <v>800</v>
      </c>
      <c r="F9" s="118" t="s">
        <v>294</v>
      </c>
      <c r="G9" s="118" t="s">
        <v>295</v>
      </c>
      <c r="H9" s="118" t="s">
        <v>296</v>
      </c>
      <c r="I9" s="118" t="s">
        <v>297</v>
      </c>
      <c r="J9" s="118" t="s">
        <v>298</v>
      </c>
      <c r="K9" s="118" t="s">
        <v>299</v>
      </c>
      <c r="L9" s="118" t="s">
        <v>300</v>
      </c>
      <c r="M9" s="118" t="s">
        <v>301</v>
      </c>
      <c r="N9" s="118" t="s">
        <v>801</v>
      </c>
      <c r="O9" s="118" t="s">
        <v>303</v>
      </c>
      <c r="P9" s="118" t="s">
        <v>311</v>
      </c>
      <c r="Q9" s="123" t="s">
        <v>803</v>
      </c>
      <c r="R9" s="118" t="s">
        <v>866</v>
      </c>
      <c r="S9" s="123" t="s">
        <v>877</v>
      </c>
      <c r="T9" s="123" t="s">
        <v>307</v>
      </c>
      <c r="U9" s="123" t="s">
        <v>807</v>
      </c>
      <c r="V9" s="123" t="s">
        <v>808</v>
      </c>
      <c r="W9" s="123" t="s">
        <v>872</v>
      </c>
    </row>
    <row r="10" spans="1:23" x14ac:dyDescent="0.25">
      <c r="A10" s="138" t="s">
        <v>874</v>
      </c>
      <c r="B10" s="103" t="s">
        <v>22</v>
      </c>
      <c r="C10" s="120" t="s">
        <v>312</v>
      </c>
      <c r="D10" s="121" t="s">
        <v>878</v>
      </c>
      <c r="E10" s="105">
        <v>46226</v>
      </c>
      <c r="F10" s="105">
        <v>46223</v>
      </c>
      <c r="G10" s="105">
        <v>46228</v>
      </c>
      <c r="H10" s="105">
        <v>46228</v>
      </c>
      <c r="I10" s="105">
        <v>46230</v>
      </c>
      <c r="J10" s="105">
        <v>46233</v>
      </c>
      <c r="K10" s="105">
        <v>46233</v>
      </c>
      <c r="L10" s="105">
        <v>46231</v>
      </c>
      <c r="M10" s="105">
        <v>46237</v>
      </c>
      <c r="N10" s="121">
        <f>M10-L10</f>
        <v>6</v>
      </c>
      <c r="O10" s="103" t="s">
        <v>879</v>
      </c>
      <c r="P10" s="105">
        <v>46238</v>
      </c>
      <c r="Q10" s="124">
        <f>H10-F10</f>
        <v>5</v>
      </c>
      <c r="R10" s="125">
        <f>E10-F10</f>
        <v>3</v>
      </c>
      <c r="S10" s="134">
        <v>190</v>
      </c>
      <c r="T10" s="139" t="s">
        <v>24</v>
      </c>
      <c r="U10" s="136">
        <v>0</v>
      </c>
      <c r="V10" s="137">
        <v>0</v>
      </c>
      <c r="W10" s="134">
        <v>190</v>
      </c>
    </row>
    <row r="11" spans="1:24" x14ac:dyDescent="0.25">
      <c r="A11" s="118" t="s">
        <v>795</v>
      </c>
      <c r="B11" s="118" t="s">
        <v>799</v>
      </c>
      <c r="C11" s="118" t="s">
        <v>282</v>
      </c>
      <c r="D11" s="118" t="s">
        <v>288</v>
      </c>
      <c r="E11" s="118" t="s">
        <v>800</v>
      </c>
      <c r="F11" s="118" t="s">
        <v>294</v>
      </c>
      <c r="G11" s="118" t="s">
        <v>295</v>
      </c>
      <c r="H11" s="118" t="s">
        <v>296</v>
      </c>
      <c r="I11" s="118" t="s">
        <v>297</v>
      </c>
      <c r="J11" s="118" t="s">
        <v>298</v>
      </c>
      <c r="K11" s="118" t="s">
        <v>299</v>
      </c>
      <c r="L11" s="118" t="s">
        <v>300</v>
      </c>
      <c r="M11" s="118" t="s">
        <v>301</v>
      </c>
      <c r="N11" s="118" t="s">
        <v>801</v>
      </c>
      <c r="O11" s="118" t="s">
        <v>303</v>
      </c>
      <c r="P11" s="118" t="s">
        <v>311</v>
      </c>
      <c r="Q11" s="123" t="s">
        <v>803</v>
      </c>
      <c r="R11" s="118" t="s">
        <v>866</v>
      </c>
      <c r="S11" s="123" t="s">
        <v>867</v>
      </c>
      <c r="T11" s="123" t="s">
        <v>868</v>
      </c>
      <c r="U11" s="123" t="s">
        <v>307</v>
      </c>
      <c r="V11" s="123" t="s">
        <v>869</v>
      </c>
      <c r="W11" s="123" t="s">
        <v>870</v>
      </c>
      <c r="X11" s="123" t="s">
        <v>809</v>
      </c>
    </row>
    <row r="12" spans="1:24" x14ac:dyDescent="0.25">
      <c r="A12" s="119" t="s">
        <v>811</v>
      </c>
      <c r="B12" s="130" t="s">
        <v>30</v>
      </c>
      <c r="C12" s="120" t="s">
        <v>312</v>
      </c>
      <c r="D12" s="121" t="s">
        <v>878</v>
      </c>
      <c r="E12" s="105">
        <v>46234</v>
      </c>
      <c r="F12" s="105">
        <v>46232</v>
      </c>
      <c r="G12" s="105">
        <v>46212</v>
      </c>
      <c r="H12" s="105">
        <v>46239</v>
      </c>
      <c r="I12" s="105">
        <v>46234</v>
      </c>
      <c r="J12" s="105">
        <v>46241</v>
      </c>
      <c r="K12" s="105">
        <v>46241</v>
      </c>
      <c r="L12" s="105">
        <v>46239</v>
      </c>
      <c r="M12" s="105">
        <v>46239</v>
      </c>
      <c r="N12" s="121">
        <f>M12-L12</f>
        <v>0</v>
      </c>
      <c r="O12" s="103" t="s">
        <v>406</v>
      </c>
      <c r="P12" s="122">
        <v>46241</v>
      </c>
      <c r="Q12" s="124">
        <f>H12-F12</f>
        <v>7</v>
      </c>
      <c r="R12" s="125">
        <f>E12-F12</f>
        <v>2</v>
      </c>
      <c r="S12" s="131">
        <f>416+150</f>
        <v>566</v>
      </c>
      <c r="T12" s="133">
        <v>500</v>
      </c>
      <c r="U12" s="140" t="s">
        <v>880</v>
      </c>
      <c r="V12" s="133">
        <v>0</v>
      </c>
      <c r="W12" s="133">
        <v>0</v>
      </c>
      <c r="X12" s="133">
        <f>S12+T12</f>
        <v>1066</v>
      </c>
    </row>
    <row r="13" spans="1:24" x14ac:dyDescent="0.25">
      <c r="A13" s="119" t="s">
        <v>881</v>
      </c>
      <c r="B13" s="130">
        <v>271578337</v>
      </c>
      <c r="C13" s="120" t="s">
        <v>312</v>
      </c>
      <c r="D13" s="121" t="s">
        <v>411</v>
      </c>
      <c r="E13" s="105">
        <v>46182</v>
      </c>
      <c r="F13" s="105">
        <v>46201</v>
      </c>
      <c r="G13" s="105">
        <v>46217</v>
      </c>
      <c r="H13" s="105">
        <v>46211</v>
      </c>
      <c r="I13" s="105">
        <v>46202</v>
      </c>
      <c r="J13" s="105">
        <v>46221</v>
      </c>
      <c r="K13" s="105">
        <v>46240</v>
      </c>
      <c r="L13" s="105">
        <v>46218</v>
      </c>
      <c r="M13" s="105">
        <v>46230</v>
      </c>
      <c r="N13" s="121">
        <f>M13-L13</f>
        <v>12</v>
      </c>
      <c r="O13" s="103" t="s">
        <v>414</v>
      </c>
      <c r="P13" s="122">
        <v>46241</v>
      </c>
      <c r="Q13" s="124">
        <f>H13-F13</f>
        <v>10</v>
      </c>
      <c r="R13" s="125">
        <v>0</v>
      </c>
      <c r="S13" s="131">
        <v>0</v>
      </c>
      <c r="T13" s="133">
        <v>0</v>
      </c>
      <c r="U13" s="141" t="s">
        <v>37</v>
      </c>
      <c r="V13" s="133">
        <v>0</v>
      </c>
      <c r="W13" s="133">
        <v>0</v>
      </c>
      <c r="X13" s="133">
        <v>220</v>
      </c>
    </row>
    <row r="14" spans="1:24" x14ac:dyDescent="0.25">
      <c r="A14" s="119" t="s">
        <v>882</v>
      </c>
      <c r="B14" s="130" t="s">
        <v>26</v>
      </c>
      <c r="C14" s="120" t="s">
        <v>312</v>
      </c>
      <c r="D14" s="121" t="s">
        <v>878</v>
      </c>
      <c r="E14" s="105">
        <v>46226</v>
      </c>
      <c r="F14" s="105">
        <v>46211</v>
      </c>
      <c r="G14" s="105">
        <v>46212</v>
      </c>
      <c r="H14" s="105">
        <v>46228</v>
      </c>
      <c r="I14" s="105">
        <v>46226</v>
      </c>
      <c r="J14" s="105">
        <v>46233</v>
      </c>
      <c r="K14" s="105">
        <v>46233</v>
      </c>
      <c r="L14" s="105">
        <v>46233</v>
      </c>
      <c r="M14" s="105">
        <v>46239</v>
      </c>
      <c r="N14" s="121">
        <f>M14-L14</f>
        <v>6</v>
      </c>
      <c r="O14" s="103" t="s">
        <v>398</v>
      </c>
      <c r="P14" s="122">
        <v>46241</v>
      </c>
      <c r="Q14" s="124">
        <f>H14-F14</f>
        <v>17</v>
      </c>
      <c r="R14" s="125">
        <f>E14-F14</f>
        <v>15</v>
      </c>
      <c r="S14" s="125"/>
      <c r="T14" s="133">
        <v>365</v>
      </c>
      <c r="U14" s="140" t="s">
        <v>28</v>
      </c>
      <c r="V14" s="136">
        <v>0</v>
      </c>
      <c r="W14" s="137">
        <v>0</v>
      </c>
      <c r="X14" s="133">
        <v>365</v>
      </c>
    </row>
    <row r="15" spans="1:24" x14ac:dyDescent="0.25">
      <c r="A15" s="119" t="s">
        <v>882</v>
      </c>
      <c r="B15" s="130" t="s">
        <v>26</v>
      </c>
      <c r="C15" s="120" t="s">
        <v>312</v>
      </c>
      <c r="D15" s="121" t="s">
        <v>878</v>
      </c>
      <c r="E15" s="105">
        <v>46226</v>
      </c>
      <c r="F15" s="105">
        <v>46211</v>
      </c>
      <c r="G15" s="105">
        <v>46212</v>
      </c>
      <c r="H15" s="105">
        <v>46228</v>
      </c>
      <c r="I15" s="105">
        <v>46226</v>
      </c>
      <c r="J15" s="105">
        <v>46233</v>
      </c>
      <c r="K15" s="105">
        <v>46233</v>
      </c>
      <c r="L15" s="105">
        <v>46233</v>
      </c>
      <c r="M15" s="105">
        <v>46239</v>
      </c>
      <c r="N15" s="121">
        <f>M15-L15</f>
        <v>6</v>
      </c>
      <c r="O15" s="103" t="s">
        <v>398</v>
      </c>
      <c r="P15" s="122">
        <v>46241</v>
      </c>
      <c r="Q15" s="124">
        <f>H15-F15</f>
        <v>17</v>
      </c>
      <c r="R15" s="125">
        <f>E15-F15</f>
        <v>15</v>
      </c>
      <c r="S15" s="133">
        <v>365</v>
      </c>
      <c r="T15" s="133">
        <v>220.98</v>
      </c>
      <c r="U15" s="140" t="s">
        <v>28</v>
      </c>
      <c r="V15" s="136">
        <v>0</v>
      </c>
      <c r="W15" s="137">
        <v>0</v>
      </c>
      <c r="X15" s="133">
        <f>S15+T15</f>
        <v>585.98</v>
      </c>
    </row>
    <row r="16" spans="1:24" x14ac:dyDescent="0.25">
      <c r="A16" s="119" t="s">
        <v>882</v>
      </c>
      <c r="B16" s="130" t="s">
        <v>26</v>
      </c>
      <c r="C16" s="120" t="s">
        <v>312</v>
      </c>
      <c r="D16" s="121" t="s">
        <v>878</v>
      </c>
      <c r="E16" s="105">
        <v>46226</v>
      </c>
      <c r="F16" s="105">
        <v>46211</v>
      </c>
      <c r="G16" s="105">
        <v>46212</v>
      </c>
      <c r="H16" s="105">
        <v>46228</v>
      </c>
      <c r="I16" s="105">
        <v>46226</v>
      </c>
      <c r="J16" s="105">
        <v>46233</v>
      </c>
      <c r="K16" s="105">
        <v>46233</v>
      </c>
      <c r="L16" s="105">
        <v>46233</v>
      </c>
      <c r="M16" s="105">
        <v>46239</v>
      </c>
      <c r="N16" s="121">
        <f>M16-L16</f>
        <v>6</v>
      </c>
      <c r="O16" s="103" t="s">
        <v>398</v>
      </c>
      <c r="P16" s="122">
        <v>46241</v>
      </c>
      <c r="Q16" s="124">
        <f>H16-F16</f>
        <v>17</v>
      </c>
      <c r="R16" s="125">
        <f>E16-F16</f>
        <v>15</v>
      </c>
      <c r="S16" s="125"/>
      <c r="T16" s="133">
        <v>220.98</v>
      </c>
      <c r="U16" s="140" t="s">
        <v>28</v>
      </c>
      <c r="V16" s="136">
        <v>0</v>
      </c>
      <c r="W16" s="137">
        <v>0</v>
      </c>
      <c r="X16" s="133">
        <v>220.98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Pending PO</vt:lpstr>
      <vt:lpstr>Billed</vt:lpstr>
      <vt:lpstr>Report</vt:lpstr>
      <vt:lpstr>QUERIED</vt:lpstr>
      <vt:lpstr> REPORTS SUMMARY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</dc:creator>
  <cp:lastModifiedBy>Windows User</cp:lastModifiedBy>
  <cp:lastPrinted>2026-10-07T09:15:47Z</cp:lastPrinted>
  <dcterms:created xsi:type="dcterms:W3CDTF">2026-08-07T06:50:16Z</dcterms:created>
  <dcterms:modified xsi:type="dcterms:W3CDTF">2026-10-27T08:43:05Z</dcterms:modified>
</cp:coreProperties>
</file>